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TNERSHIP\Downloads\"/>
    </mc:Choice>
  </mc:AlternateContent>
  <xr:revisionPtr revIDLastSave="0" documentId="13_ncr:1_{8BD06039-BCC8-42C9-A6F0-2759419A9D6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uffa_V2_Mock_Data" sheetId="1" r:id="rId1"/>
    <sheet name="Sheet1" sheetId="2" r:id="rId2"/>
  </sheets>
  <definedNames>
    <definedName name="_xlcn.WorksheetConnection_Luffa_V2_Mock_DataA1I311" hidden="1">Luffa_V2_Mock_Data!$A$1:$J$31</definedName>
  </definedNames>
  <calcPr calcId="191029"/>
  <pivotCaches>
    <pivotCache cacheId="216" r:id="rId3"/>
    <pivotCache cacheId="217" r:id="rId4"/>
    <pivotCache cacheId="218" r:id="rId5"/>
    <pivotCache cacheId="219" r:id="rId6"/>
    <pivotCache cacheId="220" r:id="rId7"/>
    <pivotCache cacheId="221" r:id="rId8"/>
    <pivotCache cacheId="224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Luffa_V2_Mock_Data!$A$1:$I$3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589B3-C8E8-4D22-A21E-3D50244965B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688A9B-287E-4AAE-8AAD-5A9DC0BF3864}" name="WorksheetConnection_Luffa_V2_Mock_Data!$A$1:$I$3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Luffa_V2_Mock_DataA1I311"/>
        </x15:connection>
      </ext>
    </extLst>
  </connection>
</connections>
</file>

<file path=xl/sharedStrings.xml><?xml version="1.0" encoding="utf-8"?>
<sst xmlns="http://schemas.openxmlformats.org/spreadsheetml/2006/main" count="69" uniqueCount="56">
  <si>
    <t>Date</t>
  </si>
  <si>
    <t>Daily Active Wallets</t>
  </si>
  <si>
    <t>New Wallets</t>
  </si>
  <si>
    <t>Files Uploaded</t>
  </si>
  <si>
    <t>Total Storage Used (GB)</t>
  </si>
  <si>
    <t>Average File Size (MB)</t>
  </si>
  <si>
    <t>Successful Uploads</t>
  </si>
  <si>
    <t>Failed Uploads</t>
  </si>
  <si>
    <t>Average Upload Time (sec)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</si>
  <si>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</si>
  <si>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</si>
  <si>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</si>
  <si>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</si>
  <si>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</si>
  <si>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</si>
  <si>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</si>
  <si>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</si>
  <si>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</si>
  <si>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</si>
  <si>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</si>
  <si>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</si>
  <si>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</si>
  <si>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</si>
  <si>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</si>
  <si>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</si>
  <si>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</si>
  <si>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</si>
  <si>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</si>
  <si>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</si>
  <si>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</si>
  <si>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</si>
  <si>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</si>
  <si>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</si>
  <si>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</si>
  <si>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</si>
  <si>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</si>
  <si>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</si>
  <si>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</si>
  <si>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</si>
  <si>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Daily Active Wallets (Adoption Trend)</t>
  </si>
  <si>
    <t>Row Labels</t>
  </si>
  <si>
    <t>Grand Total</t>
  </si>
  <si>
    <t>Sum of Daily Active Wallets</t>
  </si>
  <si>
    <t>New Wallet Growth (User Acquisition)</t>
  </si>
  <si>
    <t>Sum of New Wallets</t>
  </si>
  <si>
    <t>Storage Growth Over Time (Core Product Metric)</t>
  </si>
  <si>
    <t>Max of Total Storage Used (GB)</t>
  </si>
  <si>
    <t>Files Uploaded Per Day (Usage Intensity)</t>
  </si>
  <si>
    <t>Sum of Files Uploaded</t>
  </si>
  <si>
    <t>Reliability (Successful vs Failed Uploads)</t>
  </si>
  <si>
    <t>Sum of Successful Uploads</t>
  </si>
  <si>
    <t>Sum of Failed Uploads</t>
  </si>
  <si>
    <t>Performance (Upload Speed)</t>
  </si>
  <si>
    <t>Average of Average Upload Time (sec)</t>
  </si>
  <si>
    <t>Day</t>
  </si>
  <si>
    <t>Sum of Average File Size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</si>
</sst>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3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[Luffa_V2_Metrics_Mock_Data.xlsx]Sheet1!PivotTable1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Sheet1!$B$4:$B$34</c:f>
              <c:numCache>
                <c:formatCode>General</c:formatCode>
                <c:ptCount val="30"/>
                <c:pt idx="0">
                  <c:v>142</c:v>
                </c:pt>
                <c:pt idx="1">
                  <c:v>244</c:v>
                </c:pt>
                <c:pt idx="2">
                  <c:v>120</c:v>
                </c:pt>
                <c:pt idx="3">
                  <c:v>276</c:v>
                </c:pt>
                <c:pt idx="4">
                  <c:v>259</c:v>
                </c:pt>
                <c:pt idx="5">
                  <c:v>299</c:v>
                </c:pt>
                <c:pt idx="6">
                  <c:v>171</c:v>
                </c:pt>
                <c:pt idx="7">
                  <c:v>230</c:v>
                </c:pt>
                <c:pt idx="8">
                  <c:v>306</c:v>
                </c:pt>
                <c:pt idx="9">
                  <c:v>203</c:v>
                </c:pt>
                <c:pt idx="10">
                  <c:v>230</c:v>
                </c:pt>
                <c:pt idx="11">
                  <c:v>186</c:v>
                </c:pt>
                <c:pt idx="12">
                  <c:v>299</c:v>
                </c:pt>
                <c:pt idx="13">
                  <c:v>127</c:v>
                </c:pt>
                <c:pt idx="14">
                  <c:v>124</c:v>
                </c:pt>
                <c:pt idx="15">
                  <c:v>149</c:v>
                </c:pt>
                <c:pt idx="16">
                  <c:v>250</c:v>
                </c:pt>
                <c:pt idx="17">
                  <c:v>130</c:v>
                </c:pt>
                <c:pt idx="18">
                  <c:v>170</c:v>
                </c:pt>
                <c:pt idx="19">
                  <c:v>249</c:v>
                </c:pt>
                <c:pt idx="20">
                  <c:v>129</c:v>
                </c:pt>
                <c:pt idx="21">
                  <c:v>238</c:v>
                </c:pt>
                <c:pt idx="22">
                  <c:v>290</c:v>
                </c:pt>
                <c:pt idx="23">
                  <c:v>248</c:v>
                </c:pt>
                <c:pt idx="24">
                  <c:v>297</c:v>
                </c:pt>
                <c:pt idx="25">
                  <c:v>207</c:v>
                </c:pt>
                <c:pt idx="26">
                  <c:v>307</c:v>
                </c:pt>
                <c:pt idx="27">
                  <c:v>271</c:v>
                </c:pt>
                <c:pt idx="28">
                  <c:v>136</c:v>
                </c:pt>
                <c:pt idx="29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A-4586-B844-A9695111A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229936"/>
        <c:axId val="496224656"/>
      </c:lineChart>
      <c:catAx>
        <c:axId val="4962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24656"/>
        <c:crosses val="autoZero"/>
        <c:auto val="1"/>
        <c:lblAlgn val="ctr"/>
        <c:lblOffset val="100"/>
        <c:noMultiLvlLbl val="0"/>
      </c:catAx>
      <c:valAx>
        <c:axId val="4962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[Luffa_V2_Metrics_Mock_Data.xlsx]Sheet1!PivotTable2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Sheet1!$H$4:$H$34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Sheet1!$I$4:$I$34</c:f>
              <c:numCache>
                <c:formatCode>General</c:formatCode>
                <c:ptCount val="30"/>
                <c:pt idx="0">
                  <c:v>42</c:v>
                </c:pt>
                <c:pt idx="1">
                  <c:v>23</c:v>
                </c:pt>
                <c:pt idx="2">
                  <c:v>26</c:v>
                </c:pt>
                <c:pt idx="3">
                  <c:v>22</c:v>
                </c:pt>
                <c:pt idx="4">
                  <c:v>41</c:v>
                </c:pt>
                <c:pt idx="5">
                  <c:v>18</c:v>
                </c:pt>
                <c:pt idx="6">
                  <c:v>19</c:v>
                </c:pt>
                <c:pt idx="7">
                  <c:v>41</c:v>
                </c:pt>
                <c:pt idx="8">
                  <c:v>26</c:v>
                </c:pt>
                <c:pt idx="9">
                  <c:v>41</c:v>
                </c:pt>
                <c:pt idx="10">
                  <c:v>20</c:v>
                </c:pt>
                <c:pt idx="11">
                  <c:v>35</c:v>
                </c:pt>
                <c:pt idx="12">
                  <c:v>30</c:v>
                </c:pt>
                <c:pt idx="13">
                  <c:v>37</c:v>
                </c:pt>
                <c:pt idx="14">
                  <c:v>37</c:v>
                </c:pt>
                <c:pt idx="15">
                  <c:v>45</c:v>
                </c:pt>
                <c:pt idx="16">
                  <c:v>27</c:v>
                </c:pt>
                <c:pt idx="17">
                  <c:v>26</c:v>
                </c:pt>
                <c:pt idx="18">
                  <c:v>30</c:v>
                </c:pt>
                <c:pt idx="19">
                  <c:v>45</c:v>
                </c:pt>
                <c:pt idx="20">
                  <c:v>32</c:v>
                </c:pt>
                <c:pt idx="21">
                  <c:v>27</c:v>
                </c:pt>
                <c:pt idx="22">
                  <c:v>45</c:v>
                </c:pt>
                <c:pt idx="23">
                  <c:v>25</c:v>
                </c:pt>
                <c:pt idx="24">
                  <c:v>42</c:v>
                </c:pt>
                <c:pt idx="25">
                  <c:v>15</c:v>
                </c:pt>
                <c:pt idx="26">
                  <c:v>21</c:v>
                </c:pt>
                <c:pt idx="27">
                  <c:v>15</c:v>
                </c:pt>
                <c:pt idx="28">
                  <c:v>27</c:v>
                </c:pt>
                <c:pt idx="2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5-41C9-A25E-184CB7F05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223696"/>
        <c:axId val="496221776"/>
      </c:barChart>
      <c:catAx>
        <c:axId val="49622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21776"/>
        <c:crosses val="autoZero"/>
        <c:auto val="1"/>
        <c:lblAlgn val="ctr"/>
        <c:lblOffset val="100"/>
        <c:noMultiLvlLbl val="0"/>
      </c:catAx>
      <c:valAx>
        <c:axId val="4962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2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[Luffa_V2_Metrics_Mock_Data.xlsx]Sheet1!PivotTable3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Sheet1!$P$4:$P$34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Sheet1!$Q$4:$Q$34</c:f>
              <c:numCache>
                <c:formatCode>General</c:formatCode>
                <c:ptCount val="30"/>
                <c:pt idx="0">
                  <c:v>503.15</c:v>
                </c:pt>
                <c:pt idx="1">
                  <c:v>508.37</c:v>
                </c:pt>
                <c:pt idx="2">
                  <c:v>519.9</c:v>
                </c:pt>
                <c:pt idx="3">
                  <c:v>532.66</c:v>
                </c:pt>
                <c:pt idx="4">
                  <c:v>544.09</c:v>
                </c:pt>
                <c:pt idx="5">
                  <c:v>555.70000000000005</c:v>
                </c:pt>
                <c:pt idx="6">
                  <c:v>561.71</c:v>
                </c:pt>
                <c:pt idx="7">
                  <c:v>569.41999999999996</c:v>
                </c:pt>
                <c:pt idx="8">
                  <c:v>573.07000000000005</c:v>
                </c:pt>
                <c:pt idx="9">
                  <c:v>581.99</c:v>
                </c:pt>
                <c:pt idx="10">
                  <c:v>587.92999999999995</c:v>
                </c:pt>
                <c:pt idx="11">
                  <c:v>596.97</c:v>
                </c:pt>
                <c:pt idx="12">
                  <c:v>602.55999999999995</c:v>
                </c:pt>
                <c:pt idx="13">
                  <c:v>620.02</c:v>
                </c:pt>
                <c:pt idx="14">
                  <c:v>634.97</c:v>
                </c:pt>
                <c:pt idx="15">
                  <c:v>647.78</c:v>
                </c:pt>
                <c:pt idx="16">
                  <c:v>652.51</c:v>
                </c:pt>
                <c:pt idx="17">
                  <c:v>661.1</c:v>
                </c:pt>
                <c:pt idx="18">
                  <c:v>664.3</c:v>
                </c:pt>
                <c:pt idx="19">
                  <c:v>678.66</c:v>
                </c:pt>
                <c:pt idx="20">
                  <c:v>683.34</c:v>
                </c:pt>
                <c:pt idx="21">
                  <c:v>694.66</c:v>
                </c:pt>
                <c:pt idx="22">
                  <c:v>700.64</c:v>
                </c:pt>
                <c:pt idx="23">
                  <c:v>710.63</c:v>
                </c:pt>
                <c:pt idx="24">
                  <c:v>717.64</c:v>
                </c:pt>
                <c:pt idx="25">
                  <c:v>725.31</c:v>
                </c:pt>
                <c:pt idx="26">
                  <c:v>741.94</c:v>
                </c:pt>
                <c:pt idx="27">
                  <c:v>747.98</c:v>
                </c:pt>
                <c:pt idx="28">
                  <c:v>752.26</c:v>
                </c:pt>
                <c:pt idx="29">
                  <c:v>756.35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8-4341-8D15-67CF46E2A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239056"/>
        <c:axId val="496228016"/>
      </c:lineChart>
      <c:catAx>
        <c:axId val="49623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28016"/>
        <c:crosses val="autoZero"/>
        <c:auto val="1"/>
        <c:lblAlgn val="ctr"/>
        <c:lblOffset val="100"/>
        <c:noMultiLvlLbl val="0"/>
      </c:catAx>
      <c:valAx>
        <c:axId val="496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[Luffa_V2_Metrics_Mock_Data.xlsx]Sheet1!PivotTable4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Sheet1!$AA$4:$AA$34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Sheet1!$AB$4:$AB$34</c:f>
              <c:numCache>
                <c:formatCode>General</c:formatCode>
                <c:ptCount val="30"/>
                <c:pt idx="0">
                  <c:v>282</c:v>
                </c:pt>
                <c:pt idx="1">
                  <c:v>237</c:v>
                </c:pt>
                <c:pt idx="2">
                  <c:v>542</c:v>
                </c:pt>
                <c:pt idx="3">
                  <c:v>696</c:v>
                </c:pt>
                <c:pt idx="4">
                  <c:v>462</c:v>
                </c:pt>
                <c:pt idx="5">
                  <c:v>572</c:v>
                </c:pt>
                <c:pt idx="6">
                  <c:v>362</c:v>
                </c:pt>
                <c:pt idx="7">
                  <c:v>408</c:v>
                </c:pt>
                <c:pt idx="8">
                  <c:v>342</c:v>
                </c:pt>
                <c:pt idx="9">
                  <c:v>630</c:v>
                </c:pt>
                <c:pt idx="10">
                  <c:v>547</c:v>
                </c:pt>
                <c:pt idx="11">
                  <c:v>493</c:v>
                </c:pt>
                <c:pt idx="12">
                  <c:v>741</c:v>
                </c:pt>
                <c:pt idx="13">
                  <c:v>683</c:v>
                </c:pt>
                <c:pt idx="14">
                  <c:v>698</c:v>
                </c:pt>
                <c:pt idx="15">
                  <c:v>492</c:v>
                </c:pt>
                <c:pt idx="16">
                  <c:v>473</c:v>
                </c:pt>
                <c:pt idx="17">
                  <c:v>658</c:v>
                </c:pt>
                <c:pt idx="18">
                  <c:v>437</c:v>
                </c:pt>
                <c:pt idx="19">
                  <c:v>612</c:v>
                </c:pt>
                <c:pt idx="20">
                  <c:v>624</c:v>
                </c:pt>
                <c:pt idx="21">
                  <c:v>600</c:v>
                </c:pt>
                <c:pt idx="22">
                  <c:v>373</c:v>
                </c:pt>
                <c:pt idx="23">
                  <c:v>476</c:v>
                </c:pt>
                <c:pt idx="24">
                  <c:v>394</c:v>
                </c:pt>
                <c:pt idx="25">
                  <c:v>707</c:v>
                </c:pt>
                <c:pt idx="26">
                  <c:v>687</c:v>
                </c:pt>
                <c:pt idx="27">
                  <c:v>248</c:v>
                </c:pt>
                <c:pt idx="28">
                  <c:v>634</c:v>
                </c:pt>
                <c:pt idx="29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8-444F-A29C-524DEC0F3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243376"/>
        <c:axId val="496238096"/>
      </c:barChart>
      <c:catAx>
        <c:axId val="49624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38096"/>
        <c:crosses val="autoZero"/>
        <c:auto val="1"/>
        <c:lblAlgn val="ctr"/>
        <c:lblOffset val="100"/>
        <c:noMultiLvlLbl val="0"/>
      </c:catAx>
      <c:valAx>
        <c:axId val="4962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4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[Luffa_V2_Metrics_Mock_Data.xlsx]Sheet1!PivotTable5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Sheet1!$AM$3</c:f>
              <c:strCache>
                <c:ptCount val="1"/>
                <c:pt idx="0">
                  <c:v>Sum of Successful Uploads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Sheet1!$AM$4:$AM$34</c:f>
              <c:numCache>
                <c:formatCode>General</c:formatCode>
                <c:ptCount val="30"/>
                <c:pt idx="0">
                  <c:v>273</c:v>
                </c:pt>
                <c:pt idx="1">
                  <c:v>232</c:v>
                </c:pt>
                <c:pt idx="2">
                  <c:v>531</c:v>
                </c:pt>
                <c:pt idx="3">
                  <c:v>674</c:v>
                </c:pt>
                <c:pt idx="4">
                  <c:v>453</c:v>
                </c:pt>
                <c:pt idx="5">
                  <c:v>545</c:v>
                </c:pt>
                <c:pt idx="6">
                  <c:v>345</c:v>
                </c:pt>
                <c:pt idx="7">
                  <c:v>402</c:v>
                </c:pt>
                <c:pt idx="8">
                  <c:v>336</c:v>
                </c:pt>
                <c:pt idx="9">
                  <c:v>610</c:v>
                </c:pt>
                <c:pt idx="10">
                  <c:v>523</c:v>
                </c:pt>
                <c:pt idx="11">
                  <c:v>480</c:v>
                </c:pt>
                <c:pt idx="12">
                  <c:v>717</c:v>
                </c:pt>
                <c:pt idx="13">
                  <c:v>652</c:v>
                </c:pt>
                <c:pt idx="14">
                  <c:v>681</c:v>
                </c:pt>
                <c:pt idx="15">
                  <c:v>485</c:v>
                </c:pt>
                <c:pt idx="16">
                  <c:v>467</c:v>
                </c:pt>
                <c:pt idx="17">
                  <c:v>649</c:v>
                </c:pt>
                <c:pt idx="18">
                  <c:v>432</c:v>
                </c:pt>
                <c:pt idx="19">
                  <c:v>600</c:v>
                </c:pt>
                <c:pt idx="20">
                  <c:v>617</c:v>
                </c:pt>
                <c:pt idx="21">
                  <c:v>570</c:v>
                </c:pt>
                <c:pt idx="22">
                  <c:v>362</c:v>
                </c:pt>
                <c:pt idx="23">
                  <c:v>452</c:v>
                </c:pt>
                <c:pt idx="24">
                  <c:v>377</c:v>
                </c:pt>
                <c:pt idx="25">
                  <c:v>685</c:v>
                </c:pt>
                <c:pt idx="26">
                  <c:v>654</c:v>
                </c:pt>
                <c:pt idx="27">
                  <c:v>237</c:v>
                </c:pt>
                <c:pt idx="28">
                  <c:v>625</c:v>
                </c:pt>
                <c:pt idx="29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1-492D-B857-6DCD1F2F3D01}"/>
            </c:ext>
          </c:extLst>
        </c:ser>
        <c:ser>
          <c:idx val="1"/>
          <c:order val="1"/>
          <c:tx>
            <c:strRef>
              <c:f>Sheet1!$AN$3</c:f>
              <c:strCache>
                <c:ptCount val="1"/>
                <c:pt idx="0">
                  <c:v>Sum of Failed Uploads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Sheet1!$AN$4:$AN$34</c:f>
              <c:numCache>
                <c:formatCode>General</c:formatCode>
                <c:ptCount val="30"/>
                <c:pt idx="0">
                  <c:v>9</c:v>
                </c:pt>
                <c:pt idx="1">
                  <c:v>5</c:v>
                </c:pt>
                <c:pt idx="2">
                  <c:v>11</c:v>
                </c:pt>
                <c:pt idx="3">
                  <c:v>22</c:v>
                </c:pt>
                <c:pt idx="4">
                  <c:v>9</c:v>
                </c:pt>
                <c:pt idx="5">
                  <c:v>27</c:v>
                </c:pt>
                <c:pt idx="6">
                  <c:v>17</c:v>
                </c:pt>
                <c:pt idx="7">
                  <c:v>6</c:v>
                </c:pt>
                <c:pt idx="8">
                  <c:v>6</c:v>
                </c:pt>
                <c:pt idx="9">
                  <c:v>20</c:v>
                </c:pt>
                <c:pt idx="10">
                  <c:v>24</c:v>
                </c:pt>
                <c:pt idx="11">
                  <c:v>13</c:v>
                </c:pt>
                <c:pt idx="12">
                  <c:v>24</c:v>
                </c:pt>
                <c:pt idx="13">
                  <c:v>31</c:v>
                </c:pt>
                <c:pt idx="14">
                  <c:v>17</c:v>
                </c:pt>
                <c:pt idx="15">
                  <c:v>7</c:v>
                </c:pt>
                <c:pt idx="16">
                  <c:v>6</c:v>
                </c:pt>
                <c:pt idx="17">
                  <c:v>9</c:v>
                </c:pt>
                <c:pt idx="18">
                  <c:v>5</c:v>
                </c:pt>
                <c:pt idx="19">
                  <c:v>12</c:v>
                </c:pt>
                <c:pt idx="20">
                  <c:v>7</c:v>
                </c:pt>
                <c:pt idx="21">
                  <c:v>30</c:v>
                </c:pt>
                <c:pt idx="22">
                  <c:v>11</c:v>
                </c:pt>
                <c:pt idx="23">
                  <c:v>24</c:v>
                </c:pt>
                <c:pt idx="24">
                  <c:v>17</c:v>
                </c:pt>
                <c:pt idx="25">
                  <c:v>22</c:v>
                </c:pt>
                <c:pt idx="26">
                  <c:v>33</c:v>
                </c:pt>
                <c:pt idx="27">
                  <c:v>11</c:v>
                </c:pt>
                <c:pt idx="28">
                  <c:v>9</c:v>
                </c:pt>
                <c:pt idx="2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1-492D-B857-6DCD1F2F3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187104"/>
        <c:axId val="117193344"/>
      </c:barChart>
      <c:catAx>
        <c:axId val="11718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3344"/>
        <c:crosses val="autoZero"/>
        <c:auto val="1"/>
        <c:lblAlgn val="ctr"/>
        <c:lblOffset val="100"/>
        <c:noMultiLvlLbl val="0"/>
      </c:catAx>
      <c:valAx>
        <c:axId val="1171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[Luffa_V2_Metrics_Mock_Data.xlsx]Sheet1!PivotTable6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Sheet1!$AY$3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Sheet1!$AX$4:$AX$34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Sheet1!$AY$4:$AY$34</c:f>
              <c:numCache>
                <c:formatCode>General</c:formatCode>
                <c:ptCount val="30"/>
                <c:pt idx="0">
                  <c:v>4.12</c:v>
                </c:pt>
                <c:pt idx="1">
                  <c:v>2.4</c:v>
                </c:pt>
                <c:pt idx="2">
                  <c:v>3.38</c:v>
                </c:pt>
                <c:pt idx="3">
                  <c:v>2.36</c:v>
                </c:pt>
                <c:pt idx="4">
                  <c:v>3.76</c:v>
                </c:pt>
                <c:pt idx="5">
                  <c:v>3.94</c:v>
                </c:pt>
                <c:pt idx="6">
                  <c:v>2.79</c:v>
                </c:pt>
                <c:pt idx="7">
                  <c:v>3.26</c:v>
                </c:pt>
                <c:pt idx="8">
                  <c:v>2.57</c:v>
                </c:pt>
                <c:pt idx="9">
                  <c:v>1.9</c:v>
                </c:pt>
                <c:pt idx="10">
                  <c:v>1.97</c:v>
                </c:pt>
                <c:pt idx="11">
                  <c:v>2.73</c:v>
                </c:pt>
                <c:pt idx="12">
                  <c:v>3.67</c:v>
                </c:pt>
                <c:pt idx="13">
                  <c:v>1.9</c:v>
                </c:pt>
                <c:pt idx="14">
                  <c:v>3.69</c:v>
                </c:pt>
                <c:pt idx="15">
                  <c:v>2.0699999999999998</c:v>
                </c:pt>
                <c:pt idx="16">
                  <c:v>2.25</c:v>
                </c:pt>
                <c:pt idx="17">
                  <c:v>2.27</c:v>
                </c:pt>
                <c:pt idx="18">
                  <c:v>3.04</c:v>
                </c:pt>
                <c:pt idx="19">
                  <c:v>2.2599999999999998</c:v>
                </c:pt>
                <c:pt idx="20">
                  <c:v>1.91</c:v>
                </c:pt>
                <c:pt idx="21">
                  <c:v>2.73</c:v>
                </c:pt>
                <c:pt idx="22">
                  <c:v>3.71</c:v>
                </c:pt>
                <c:pt idx="23">
                  <c:v>2.39</c:v>
                </c:pt>
                <c:pt idx="24">
                  <c:v>3.14</c:v>
                </c:pt>
                <c:pt idx="25">
                  <c:v>3.04</c:v>
                </c:pt>
                <c:pt idx="26">
                  <c:v>3.31</c:v>
                </c:pt>
                <c:pt idx="27">
                  <c:v>4</c:v>
                </c:pt>
                <c:pt idx="28">
                  <c:v>2.06</c:v>
                </c:pt>
                <c:pt idx="29">
                  <c:v>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1-4FFF-9D19-422C4FD6E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22432"/>
        <c:axId val="116229632"/>
      </c:lineChart>
      <c:catAx>
        <c:axId val="1162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29632"/>
        <c:crosses val="autoZero"/>
        <c:auto val="1"/>
        <c:lblAlgn val="ctr"/>
        <c:lblOffset val="100"/>
        <c:noMultiLvlLbl val="0"/>
      </c:catAx>
      <c:valAx>
        <c:axId val="1162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64770</xdr:rowOff>
    </xdr:from>
    <xdr:to>
      <xdr:col>5</xdr:col>
      <xdr:colOff>228606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A291D-F9F8-A974-41A1-4E2BE3964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506730</xdr:colOff>
      <xdr:row>6</xdr:row>
      <xdr:rowOff>3810</xdr:rowOff>
    </xdr:from>
    <xdr:to>
      <xdr:col>13</xdr:col>
      <xdr:colOff>544830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ED358C-0916-4113-65F8-BD52D625F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118110</xdr:colOff>
      <xdr:row>5</xdr:row>
      <xdr:rowOff>64770</xdr:rowOff>
    </xdr:from>
    <xdr:to>
      <xdr:col>24</xdr:col>
      <xdr:colOff>422910</xdr:colOff>
      <xdr:row>20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40CE4E-95BB-05AC-8075-6BEF301A1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152400</xdr:colOff>
      <xdr:row>4</xdr:row>
      <xdr:rowOff>80010</xdr:rowOff>
    </xdr:from>
    <xdr:to>
      <xdr:col>35</xdr:col>
      <xdr:colOff>457200</xdr:colOff>
      <xdr:row>19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7AE6C5-E910-8753-43A7-47C4865EB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213360</xdr:colOff>
      <xdr:row>2</xdr:row>
      <xdr:rowOff>64770</xdr:rowOff>
    </xdr:from>
    <xdr:to>
      <xdr:col>47</xdr:col>
      <xdr:colOff>518160</xdr:colOff>
      <xdr:row>17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D36D02-A140-8BD5-CE57-9DD7287F3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129540</xdr:colOff>
      <xdr:row>3</xdr:row>
      <xdr:rowOff>34290</xdr:rowOff>
    </xdr:from>
    <xdr:to>
      <xdr:col>57</xdr:col>
      <xdr:colOff>289560</xdr:colOff>
      <xdr:row>18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BFAC1D-38A3-1E9A-1CF2-843C55DC9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NERSHIP" refreshedDate="46045.933184027781" backgroundQuery="1" createdVersion="8" refreshedVersion="8" minRefreshableVersion="3" recordCount="0" supportSubquery="1" supportAdvancedDrill="1" xr:uid="{2EADA1BF-63EA-42F0-A255-8DC63880EEAE}">
  <cacheSource type="external" connectionId="1"/>
  <cacheFields count="2">
    <cacheField name="[Measures].[Average of Average Upload Time (sec)]" caption="Average of Average Upload Time (sec)" numFmtId="0" hierarchy="20" level="32767"/>
    <cacheField name="[Range].[Day].[Day]" caption="Day" numFmtId="0" hierarchy="1" level="1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  <extLst>
        <ext xmlns:x15="http://schemas.microsoft.com/office/spreadsheetml/2010/11/main" uri="{4F2E5C28-24EA-4eb8-9CBF-B6C8F9C3D259}">
          <x15:cachedUniqueNames>
            <x15:cachedUniqueName index="0" name="[Range].[Day].&amp;[1]"/>
            <x15:cachedUniqueName index="1" name="[Range].[Day].&amp;[2]"/>
            <x15:cachedUniqueName index="2" name="[Range].[Day].&amp;[3]"/>
            <x15:cachedUniqueName index="3" name="[Range].[Day].&amp;[4]"/>
            <x15:cachedUniqueName index="4" name="[Range].[Day].&amp;[5]"/>
            <x15:cachedUniqueName index="5" name="[Range].[Day].&amp;[6]"/>
            <x15:cachedUniqueName index="6" name="[Range].[Day].&amp;[7]"/>
            <x15:cachedUniqueName index="7" name="[Range].[Day].&amp;[8]"/>
            <x15:cachedUniqueName index="8" name="[Range].[Day].&amp;[9]"/>
            <x15:cachedUniqueName index="9" name="[Range].[Day].&amp;[10]"/>
            <x15:cachedUniqueName index="10" name="[Range].[Day].&amp;[11]"/>
            <x15:cachedUniqueName index="11" name="[Range].[Day].&amp;[12]"/>
            <x15:cachedUniqueName index="12" name="[Range].[Day].&amp;[13]"/>
            <x15:cachedUniqueName index="13" name="[Range].[Day].&amp;[14]"/>
            <x15:cachedUniqueName index="14" name="[Range].[Day].&amp;[15]"/>
            <x15:cachedUniqueName index="15" name="[Range].[Day].&amp;[16]"/>
            <x15:cachedUniqueName index="16" name="[Range].[Day].&amp;[17]"/>
            <x15:cachedUniqueName index="17" name="[Range].[Day].&amp;[18]"/>
            <x15:cachedUniqueName index="18" name="[Range].[Day].&amp;[19]"/>
            <x15:cachedUniqueName index="19" name="[Range].[Day].&amp;[20]"/>
            <x15:cachedUniqueName index="20" name="[Range].[Day].&amp;[21]"/>
            <x15:cachedUniqueName index="21" name="[Range].[Day].&amp;[22]"/>
            <x15:cachedUniqueName index="22" name="[Range].[Day].&amp;[23]"/>
            <x15:cachedUniqueName index="23" name="[Range].[Day].&amp;[24]"/>
            <x15:cachedUniqueName index="24" name="[Range].[Day].&amp;[25]"/>
            <x15:cachedUniqueName index="25" name="[Range].[Day].&amp;[26]"/>
            <x15:cachedUniqueName index="26" name="[Range].[Day].&amp;[27]"/>
            <x15:cachedUniqueName index="27" name="[Range].[Day].&amp;[28]"/>
            <x15:cachedUniqueName index="28" name="[Range].[Day].&amp;[29]"/>
            <x15:cachedUniqueName index="29" name="[Range].[Day].&amp;[30]"/>
          </x15:cachedUniqueNames>
        </ext>
      </extLst>
    </cacheField>
  </cacheFields>
  <cacheHierarchies count="23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20" unbalanced="0">
      <fieldsUsage count="2">
        <fieldUsage x="-1"/>
        <fieldUsage x="1"/>
      </fieldsUsage>
    </cacheHierarchy>
    <cacheHierarchy uniqueName="[Range].[Daily Active Wallets]" caption="Daily Active Wallets" attribute="1" defaultMemberUniqueName="[Range].[Daily Active Wallets].[All]" allUniqueName="[Range].[Daily Active Wallets].[All]" dimensionUniqueName="[Range]" displayFolder="" count="0" memberValueDatatype="20" unbalanced="0"/>
    <cacheHierarchy uniqueName="[Range].[New Wallets]" caption="New Wallets" attribute="1" defaultMemberUniqueName="[Range].[New Wallets].[All]" allUniqueName="[Range].[New Wallets].[All]" dimensionUniqueName="[Range]" displayFolder="" count="0" memberValueDatatype="20" unbalanced="0"/>
    <cacheHierarchy uniqueName="[Range].[Files Uploaded]" caption="Files Uploaded" attribute="1" defaultMemberUniqueName="[Range].[Files Uploaded].[All]" allUniqueName="[Range].[Files Uploaded].[All]" dimensionUniqueName="[Range]" displayFolder="" count="0" memberValueDatatype="20" unbalanced="0"/>
    <cacheHierarchy uniqueName="[Range].[Total Storage Used (GB)]" caption="Total Storage Used (GB)" attribute="1" defaultMemberUniqueName="[Range].[Total Storage Used (GB)].[All]" allUniqueName="[Range].[Total Storage Used (GB)].[All]" dimensionUniqueName="[Range]" displayFolder="" count="0" memberValueDatatype="5" unbalanced="0"/>
    <cacheHierarchy uniqueName="[Range].[Average File Size (MB)]" caption="Average File Size (MB)" attribute="1" defaultMemberUniqueName="[Range].[Average File Size (MB)].[All]" allUniqueName="[Range].[Average File Size (MB)].[All]" dimensionUniqueName="[Range]" displayFolder="" count="0" memberValueDatatype="5" unbalanced="0"/>
    <cacheHierarchy uniqueName="[Range].[Successful Uploads]" caption="Successful Uploads" attribute="1" defaultMemberUniqueName="[Range].[Successful Uploads].[All]" allUniqueName="[Range].[Successful Uploads].[All]" dimensionUniqueName="[Range]" displayFolder="" count="0" memberValueDatatype="20" unbalanced="0"/>
    <cacheHierarchy uniqueName="[Range].[Failed Uploads]" caption="Failed Uploads" attribute="1" defaultMemberUniqueName="[Range].[Failed Uploads].[All]" allUniqueName="[Range].[Failed Uploads].[All]" dimensionUniqueName="[Range]" displayFolder="" count="0" memberValueDatatype="20" unbalanced="0"/>
    <cacheHierarchy uniqueName="[Range].[Average Upload Time (sec)]" caption="Average Upload Time (sec)" attribute="1" defaultMemberUniqueName="[Range].[Average Upload Time (sec)].[All]" allUniqueName="[Range].[Average Upload Time (sec)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ily Active Wallets]" caption="Sum of Daily Active Walle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w Wallets]" caption="Sum of New Wallet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Storage Used (GB)]" caption="Sum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otal Storage Used (GB)]" caption="Max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iles Uploaded]" caption="Sum of Files Uploade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ccessful Uploads]" caption="Sum of Successful Upload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ailed Uploads]" caption="Sum of Failed Upload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erage Upload Time (sec)]" caption="Sum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Upload Time (sec)]" caption="Average of Average Upload Time (sec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ay]" caption="Sum of Da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 File Size (MB)]" caption="Sum of Average File Size (MB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NERSHIP" refreshedDate="46045.933053703702" backgroundQuery="1" createdVersion="8" refreshedVersion="8" minRefreshableVersion="3" recordCount="0" supportSubquery="1" supportAdvancedDrill="1" xr:uid="{E938DF50-8F61-4F57-8C8E-7D886AF57C0D}">
  <cacheSource type="external" connectionId="1"/>
  <cacheFields count="3">
    <cacheField name="[Measures].[Sum of Successful Uploads]" caption="Sum of Successful Uploads" numFmtId="0" hierarchy="17" level="32767"/>
    <cacheField name="[Measures].[Sum of Failed Uploads]" caption="Sum of Failed Uploads" numFmtId="0" hierarchy="18" level="32767"/>
    <cacheField name="[Range].[Day].[Day]" caption="Day" numFmtId="0" hierarchy="1" level="1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  <extLst>
        <ext xmlns:x15="http://schemas.microsoft.com/office/spreadsheetml/2010/11/main" uri="{4F2E5C28-24EA-4eb8-9CBF-B6C8F9C3D259}">
          <x15:cachedUniqueNames>
            <x15:cachedUniqueName index="0" name="[Range].[Day].&amp;[1]"/>
            <x15:cachedUniqueName index="1" name="[Range].[Day].&amp;[2]"/>
            <x15:cachedUniqueName index="2" name="[Range].[Day].&amp;[3]"/>
            <x15:cachedUniqueName index="3" name="[Range].[Day].&amp;[4]"/>
            <x15:cachedUniqueName index="4" name="[Range].[Day].&amp;[5]"/>
            <x15:cachedUniqueName index="5" name="[Range].[Day].&amp;[6]"/>
            <x15:cachedUniqueName index="6" name="[Range].[Day].&amp;[7]"/>
            <x15:cachedUniqueName index="7" name="[Range].[Day].&amp;[8]"/>
            <x15:cachedUniqueName index="8" name="[Range].[Day].&amp;[9]"/>
            <x15:cachedUniqueName index="9" name="[Range].[Day].&amp;[10]"/>
            <x15:cachedUniqueName index="10" name="[Range].[Day].&amp;[11]"/>
            <x15:cachedUniqueName index="11" name="[Range].[Day].&amp;[12]"/>
            <x15:cachedUniqueName index="12" name="[Range].[Day].&amp;[13]"/>
            <x15:cachedUniqueName index="13" name="[Range].[Day].&amp;[14]"/>
            <x15:cachedUniqueName index="14" name="[Range].[Day].&amp;[15]"/>
            <x15:cachedUniqueName index="15" name="[Range].[Day].&amp;[16]"/>
            <x15:cachedUniqueName index="16" name="[Range].[Day].&amp;[17]"/>
            <x15:cachedUniqueName index="17" name="[Range].[Day].&amp;[18]"/>
            <x15:cachedUniqueName index="18" name="[Range].[Day].&amp;[19]"/>
            <x15:cachedUniqueName index="19" name="[Range].[Day].&amp;[20]"/>
            <x15:cachedUniqueName index="20" name="[Range].[Day].&amp;[21]"/>
            <x15:cachedUniqueName index="21" name="[Range].[Day].&amp;[22]"/>
            <x15:cachedUniqueName index="22" name="[Range].[Day].&amp;[23]"/>
            <x15:cachedUniqueName index="23" name="[Range].[Day].&amp;[24]"/>
            <x15:cachedUniqueName index="24" name="[Range].[Day].&amp;[25]"/>
            <x15:cachedUniqueName index="25" name="[Range].[Day].&amp;[26]"/>
            <x15:cachedUniqueName index="26" name="[Range].[Day].&amp;[27]"/>
            <x15:cachedUniqueName index="27" name="[Range].[Day].&amp;[28]"/>
            <x15:cachedUniqueName index="28" name="[Range].[Day].&amp;[29]"/>
            <x15:cachedUniqueName index="29" name="[Range].[Day].&amp;[30]"/>
          </x15:cachedUniqueNames>
        </ext>
      </extLst>
    </cacheField>
  </cacheFields>
  <cacheHierarchies count="23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20" unbalanced="0">
      <fieldsUsage count="2">
        <fieldUsage x="-1"/>
        <fieldUsage x="2"/>
      </fieldsUsage>
    </cacheHierarchy>
    <cacheHierarchy uniqueName="[Range].[Daily Active Wallets]" caption="Daily Active Wallets" attribute="1" defaultMemberUniqueName="[Range].[Daily Active Wallets].[All]" allUniqueName="[Range].[Daily Active Wallets].[All]" dimensionUniqueName="[Range]" displayFolder="" count="0" memberValueDatatype="20" unbalanced="0"/>
    <cacheHierarchy uniqueName="[Range].[New Wallets]" caption="New Wallets" attribute="1" defaultMemberUniqueName="[Range].[New Wallets].[All]" allUniqueName="[Range].[New Wallets].[All]" dimensionUniqueName="[Range]" displayFolder="" count="0" memberValueDatatype="20" unbalanced="0"/>
    <cacheHierarchy uniqueName="[Range].[Files Uploaded]" caption="Files Uploaded" attribute="1" defaultMemberUniqueName="[Range].[Files Uploaded].[All]" allUniqueName="[Range].[Files Uploaded].[All]" dimensionUniqueName="[Range]" displayFolder="" count="0" memberValueDatatype="20" unbalanced="0"/>
    <cacheHierarchy uniqueName="[Range].[Total Storage Used (GB)]" caption="Total Storage Used (GB)" attribute="1" defaultMemberUniqueName="[Range].[Total Storage Used (GB)].[All]" allUniqueName="[Range].[Total Storage Used (GB)].[All]" dimensionUniqueName="[Range]" displayFolder="" count="0" memberValueDatatype="5" unbalanced="0"/>
    <cacheHierarchy uniqueName="[Range].[Average File Size (MB)]" caption="Average File Size (MB)" attribute="1" defaultMemberUniqueName="[Range].[Average File Size (MB)].[All]" allUniqueName="[Range].[Average File Size (MB)].[All]" dimensionUniqueName="[Range]" displayFolder="" count="0" memberValueDatatype="5" unbalanced="0"/>
    <cacheHierarchy uniqueName="[Range].[Successful Uploads]" caption="Successful Uploads" attribute="1" defaultMemberUniqueName="[Range].[Successful Uploads].[All]" allUniqueName="[Range].[Successful Uploads].[All]" dimensionUniqueName="[Range]" displayFolder="" count="0" memberValueDatatype="20" unbalanced="0"/>
    <cacheHierarchy uniqueName="[Range].[Failed Uploads]" caption="Failed Uploads" attribute="1" defaultMemberUniqueName="[Range].[Failed Uploads].[All]" allUniqueName="[Range].[Failed Uploads].[All]" dimensionUniqueName="[Range]" displayFolder="" count="0" memberValueDatatype="20" unbalanced="0"/>
    <cacheHierarchy uniqueName="[Range].[Average Upload Time (sec)]" caption="Average Upload Time (sec)" attribute="1" defaultMemberUniqueName="[Range].[Average Upload Time (sec)].[All]" allUniqueName="[Range].[Average Upload Time (sec)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ily Active Wallets]" caption="Sum of Daily Active Walle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w Wallets]" caption="Sum of New Wallet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Storage Used (GB)]" caption="Sum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otal Storage Used (GB)]" caption="Max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iles Uploaded]" caption="Sum of Files Uploade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ccessful Uploads]" caption="Sum of Successful Upload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ailed Uploads]" caption="Sum of Failed Upload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erage Upload Time (sec)]" caption="Sum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Upload Time (sec)]" caption="Average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ay]" caption="Sum of Da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 File Size (MB)]" caption="Sum of Average File Size (MB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NERSHIP" refreshedDate="46045.932929050927" backgroundQuery="1" createdVersion="8" refreshedVersion="8" minRefreshableVersion="3" recordCount="0" supportSubquery="1" supportAdvancedDrill="1" xr:uid="{38C08597-A4F1-4262-9715-8719DFAE0927}">
  <cacheSource type="external" connectionId="1"/>
  <cacheFields count="2">
    <cacheField name="[Measures].[Sum of Files Uploaded]" caption="Sum of Files Uploaded" numFmtId="0" hierarchy="16" level="32767"/>
    <cacheField name="[Range].[Day].[Day]" caption="Day" numFmtId="0" hierarchy="1" level="1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  <extLst>
        <ext xmlns:x15="http://schemas.microsoft.com/office/spreadsheetml/2010/11/main" uri="{4F2E5C28-24EA-4eb8-9CBF-B6C8F9C3D259}">
          <x15:cachedUniqueNames>
            <x15:cachedUniqueName index="0" name="[Range].[Day].&amp;[1]"/>
            <x15:cachedUniqueName index="1" name="[Range].[Day].&amp;[2]"/>
            <x15:cachedUniqueName index="2" name="[Range].[Day].&amp;[3]"/>
            <x15:cachedUniqueName index="3" name="[Range].[Day].&amp;[4]"/>
            <x15:cachedUniqueName index="4" name="[Range].[Day].&amp;[5]"/>
            <x15:cachedUniqueName index="5" name="[Range].[Day].&amp;[6]"/>
            <x15:cachedUniqueName index="6" name="[Range].[Day].&amp;[7]"/>
            <x15:cachedUniqueName index="7" name="[Range].[Day].&amp;[8]"/>
            <x15:cachedUniqueName index="8" name="[Range].[Day].&amp;[9]"/>
            <x15:cachedUniqueName index="9" name="[Range].[Day].&amp;[10]"/>
            <x15:cachedUniqueName index="10" name="[Range].[Day].&amp;[11]"/>
            <x15:cachedUniqueName index="11" name="[Range].[Day].&amp;[12]"/>
            <x15:cachedUniqueName index="12" name="[Range].[Day].&amp;[13]"/>
            <x15:cachedUniqueName index="13" name="[Range].[Day].&amp;[14]"/>
            <x15:cachedUniqueName index="14" name="[Range].[Day].&amp;[15]"/>
            <x15:cachedUniqueName index="15" name="[Range].[Day].&amp;[16]"/>
            <x15:cachedUniqueName index="16" name="[Range].[Day].&amp;[17]"/>
            <x15:cachedUniqueName index="17" name="[Range].[Day].&amp;[18]"/>
            <x15:cachedUniqueName index="18" name="[Range].[Day].&amp;[19]"/>
            <x15:cachedUniqueName index="19" name="[Range].[Day].&amp;[20]"/>
            <x15:cachedUniqueName index="20" name="[Range].[Day].&amp;[21]"/>
            <x15:cachedUniqueName index="21" name="[Range].[Day].&amp;[22]"/>
            <x15:cachedUniqueName index="22" name="[Range].[Day].&amp;[23]"/>
            <x15:cachedUniqueName index="23" name="[Range].[Day].&amp;[24]"/>
            <x15:cachedUniqueName index="24" name="[Range].[Day].&amp;[25]"/>
            <x15:cachedUniqueName index="25" name="[Range].[Day].&amp;[26]"/>
            <x15:cachedUniqueName index="26" name="[Range].[Day].&amp;[27]"/>
            <x15:cachedUniqueName index="27" name="[Range].[Day].&amp;[28]"/>
            <x15:cachedUniqueName index="28" name="[Range].[Day].&amp;[29]"/>
            <x15:cachedUniqueName index="29" name="[Range].[Day].&amp;[30]"/>
          </x15:cachedUniqueNames>
        </ext>
      </extLst>
    </cacheField>
  </cacheFields>
  <cacheHierarchies count="23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20" unbalanced="0">
      <fieldsUsage count="2">
        <fieldUsage x="-1"/>
        <fieldUsage x="1"/>
      </fieldsUsage>
    </cacheHierarchy>
    <cacheHierarchy uniqueName="[Range].[Daily Active Wallets]" caption="Daily Active Wallets" attribute="1" defaultMemberUniqueName="[Range].[Daily Active Wallets].[All]" allUniqueName="[Range].[Daily Active Wallets].[All]" dimensionUniqueName="[Range]" displayFolder="" count="0" memberValueDatatype="20" unbalanced="0"/>
    <cacheHierarchy uniqueName="[Range].[New Wallets]" caption="New Wallets" attribute="1" defaultMemberUniqueName="[Range].[New Wallets].[All]" allUniqueName="[Range].[New Wallets].[All]" dimensionUniqueName="[Range]" displayFolder="" count="0" memberValueDatatype="20" unbalanced="0"/>
    <cacheHierarchy uniqueName="[Range].[Files Uploaded]" caption="Files Uploaded" attribute="1" defaultMemberUniqueName="[Range].[Files Uploaded].[All]" allUniqueName="[Range].[Files Uploaded].[All]" dimensionUniqueName="[Range]" displayFolder="" count="0" memberValueDatatype="20" unbalanced="0"/>
    <cacheHierarchy uniqueName="[Range].[Total Storage Used (GB)]" caption="Total Storage Used (GB)" attribute="1" defaultMemberUniqueName="[Range].[Total Storage Used (GB)].[All]" allUniqueName="[Range].[Total Storage Used (GB)].[All]" dimensionUniqueName="[Range]" displayFolder="" count="0" memberValueDatatype="5" unbalanced="0"/>
    <cacheHierarchy uniqueName="[Range].[Average File Size (MB)]" caption="Average File Size (MB)" attribute="1" defaultMemberUniqueName="[Range].[Average File Size (MB)].[All]" allUniqueName="[Range].[Average File Size (MB)].[All]" dimensionUniqueName="[Range]" displayFolder="" count="0" memberValueDatatype="5" unbalanced="0"/>
    <cacheHierarchy uniqueName="[Range].[Successful Uploads]" caption="Successful Uploads" attribute="1" defaultMemberUniqueName="[Range].[Successful Uploads].[All]" allUniqueName="[Range].[Successful Uploads].[All]" dimensionUniqueName="[Range]" displayFolder="" count="0" memberValueDatatype="20" unbalanced="0"/>
    <cacheHierarchy uniqueName="[Range].[Failed Uploads]" caption="Failed Uploads" attribute="1" defaultMemberUniqueName="[Range].[Failed Uploads].[All]" allUniqueName="[Range].[Failed Uploads].[All]" dimensionUniqueName="[Range]" displayFolder="" count="0" memberValueDatatype="20" unbalanced="0"/>
    <cacheHierarchy uniqueName="[Range].[Average Upload Time (sec)]" caption="Average Upload Time (sec)" attribute="1" defaultMemberUniqueName="[Range].[Average Upload Time (sec)].[All]" allUniqueName="[Range].[Average Upload Time (sec)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ily Active Wallets]" caption="Sum of Daily Active Walle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w Wallets]" caption="Sum of New Wallet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Storage Used (GB)]" caption="Sum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otal Storage Used (GB)]" caption="Max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iles Uploaded]" caption="Sum of Files Uploade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ccessful Uploads]" caption="Sum of Successful Upload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ailed Uploads]" caption="Sum of Failed Upload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erage Upload Time (sec)]" caption="Sum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Upload Time (sec)]" caption="Average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ay]" caption="Sum of Da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 File Size (MB)]" caption="Sum of Average File Size (MB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NERSHIP" refreshedDate="46045.932800347226" backgroundQuery="1" createdVersion="8" refreshedVersion="8" minRefreshableVersion="3" recordCount="0" supportSubquery="1" supportAdvancedDrill="1" xr:uid="{EF6B44E7-732B-470F-804C-AB62DCDC1CAC}">
  <cacheSource type="external" connectionId="1"/>
  <cacheFields count="2">
    <cacheField name="[Measures].[Max of Total Storage Used (GB)]" caption="Max of Total Storage Used (GB)" numFmtId="0" hierarchy="15" level="32767"/>
    <cacheField name="[Range].[Day].[Day]" caption="Day" numFmtId="0" hierarchy="1" level="1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  <extLst>
        <ext xmlns:x15="http://schemas.microsoft.com/office/spreadsheetml/2010/11/main" uri="{4F2E5C28-24EA-4eb8-9CBF-B6C8F9C3D259}">
          <x15:cachedUniqueNames>
            <x15:cachedUniqueName index="0" name="[Range].[Day].&amp;[1]"/>
            <x15:cachedUniqueName index="1" name="[Range].[Day].&amp;[2]"/>
            <x15:cachedUniqueName index="2" name="[Range].[Day].&amp;[3]"/>
            <x15:cachedUniqueName index="3" name="[Range].[Day].&amp;[4]"/>
            <x15:cachedUniqueName index="4" name="[Range].[Day].&amp;[5]"/>
            <x15:cachedUniqueName index="5" name="[Range].[Day].&amp;[6]"/>
            <x15:cachedUniqueName index="6" name="[Range].[Day].&amp;[7]"/>
            <x15:cachedUniqueName index="7" name="[Range].[Day].&amp;[8]"/>
            <x15:cachedUniqueName index="8" name="[Range].[Day].&amp;[9]"/>
            <x15:cachedUniqueName index="9" name="[Range].[Day].&amp;[10]"/>
            <x15:cachedUniqueName index="10" name="[Range].[Day].&amp;[11]"/>
            <x15:cachedUniqueName index="11" name="[Range].[Day].&amp;[12]"/>
            <x15:cachedUniqueName index="12" name="[Range].[Day].&amp;[13]"/>
            <x15:cachedUniqueName index="13" name="[Range].[Day].&amp;[14]"/>
            <x15:cachedUniqueName index="14" name="[Range].[Day].&amp;[15]"/>
            <x15:cachedUniqueName index="15" name="[Range].[Day].&amp;[16]"/>
            <x15:cachedUniqueName index="16" name="[Range].[Day].&amp;[17]"/>
            <x15:cachedUniqueName index="17" name="[Range].[Day].&amp;[18]"/>
            <x15:cachedUniqueName index="18" name="[Range].[Day].&amp;[19]"/>
            <x15:cachedUniqueName index="19" name="[Range].[Day].&amp;[20]"/>
            <x15:cachedUniqueName index="20" name="[Range].[Day].&amp;[21]"/>
            <x15:cachedUniqueName index="21" name="[Range].[Day].&amp;[22]"/>
            <x15:cachedUniqueName index="22" name="[Range].[Day].&amp;[23]"/>
            <x15:cachedUniqueName index="23" name="[Range].[Day].&amp;[24]"/>
            <x15:cachedUniqueName index="24" name="[Range].[Day].&amp;[25]"/>
            <x15:cachedUniqueName index="25" name="[Range].[Day].&amp;[26]"/>
            <x15:cachedUniqueName index="26" name="[Range].[Day].&amp;[27]"/>
            <x15:cachedUniqueName index="27" name="[Range].[Day].&amp;[28]"/>
            <x15:cachedUniqueName index="28" name="[Range].[Day].&amp;[29]"/>
            <x15:cachedUniqueName index="29" name="[Range].[Day].&amp;[30]"/>
          </x15:cachedUniqueNames>
        </ext>
      </extLst>
    </cacheField>
  </cacheFields>
  <cacheHierarchies count="23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20" unbalanced="0">
      <fieldsUsage count="2">
        <fieldUsage x="-1"/>
        <fieldUsage x="1"/>
      </fieldsUsage>
    </cacheHierarchy>
    <cacheHierarchy uniqueName="[Range].[Daily Active Wallets]" caption="Daily Active Wallets" attribute="1" defaultMemberUniqueName="[Range].[Daily Active Wallets].[All]" allUniqueName="[Range].[Daily Active Wallets].[All]" dimensionUniqueName="[Range]" displayFolder="" count="0" memberValueDatatype="20" unbalanced="0"/>
    <cacheHierarchy uniqueName="[Range].[New Wallets]" caption="New Wallets" attribute="1" defaultMemberUniqueName="[Range].[New Wallets].[All]" allUniqueName="[Range].[New Wallets].[All]" dimensionUniqueName="[Range]" displayFolder="" count="0" memberValueDatatype="20" unbalanced="0"/>
    <cacheHierarchy uniqueName="[Range].[Files Uploaded]" caption="Files Uploaded" attribute="1" defaultMemberUniqueName="[Range].[Files Uploaded].[All]" allUniqueName="[Range].[Files Uploaded].[All]" dimensionUniqueName="[Range]" displayFolder="" count="0" memberValueDatatype="20" unbalanced="0"/>
    <cacheHierarchy uniqueName="[Range].[Total Storage Used (GB)]" caption="Total Storage Used (GB)" attribute="1" defaultMemberUniqueName="[Range].[Total Storage Used (GB)].[All]" allUniqueName="[Range].[Total Storage Used (GB)].[All]" dimensionUniqueName="[Range]" displayFolder="" count="0" memberValueDatatype="5" unbalanced="0"/>
    <cacheHierarchy uniqueName="[Range].[Average File Size (MB)]" caption="Average File Size (MB)" attribute="1" defaultMemberUniqueName="[Range].[Average File Size (MB)].[All]" allUniqueName="[Range].[Average File Size (MB)].[All]" dimensionUniqueName="[Range]" displayFolder="" count="0" memberValueDatatype="5" unbalanced="0"/>
    <cacheHierarchy uniqueName="[Range].[Successful Uploads]" caption="Successful Uploads" attribute="1" defaultMemberUniqueName="[Range].[Successful Uploads].[All]" allUniqueName="[Range].[Successful Uploads].[All]" dimensionUniqueName="[Range]" displayFolder="" count="0" memberValueDatatype="20" unbalanced="0"/>
    <cacheHierarchy uniqueName="[Range].[Failed Uploads]" caption="Failed Uploads" attribute="1" defaultMemberUniqueName="[Range].[Failed Uploads].[All]" allUniqueName="[Range].[Failed Uploads].[All]" dimensionUniqueName="[Range]" displayFolder="" count="0" memberValueDatatype="20" unbalanced="0"/>
    <cacheHierarchy uniqueName="[Range].[Average Upload Time (sec)]" caption="Average Upload Time (sec)" attribute="1" defaultMemberUniqueName="[Range].[Average Upload Time (sec)].[All]" allUniqueName="[Range].[Average Upload Time (sec)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ily Active Wallets]" caption="Sum of Daily Active Walle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w Wallets]" caption="Sum of New Wallet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Storage Used (GB)]" caption="Sum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otal Storage Used (GB)]" caption="Max of Total Storage Used (GB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iles Uploaded]" caption="Sum of Files Uploade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ccessful Uploads]" caption="Sum of Successful Upload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ailed Uploads]" caption="Sum of Failed Upload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erage Upload Time (sec)]" caption="Sum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Upload Time (sec)]" caption="Average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ay]" caption="Sum of Da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 File Size (MB)]" caption="Sum of Average File Size (MB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NERSHIP" refreshedDate="46045.932648726855" backgroundQuery="1" createdVersion="8" refreshedVersion="8" minRefreshableVersion="3" recordCount="0" supportSubquery="1" supportAdvancedDrill="1" xr:uid="{18BAB281-5FB6-4A5B-8516-453506DD57EE}">
  <cacheSource type="external" connectionId="1"/>
  <cacheFields count="2">
    <cacheField name="[Measures].[Sum of New Wallets]" caption="Sum of New Wallets" numFmtId="0" hierarchy="13" level="32767"/>
    <cacheField name="[Range].[Day].[Day]" caption="Day" numFmtId="0" hierarchy="1" level="1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  <extLst>
        <ext xmlns:x15="http://schemas.microsoft.com/office/spreadsheetml/2010/11/main" uri="{4F2E5C28-24EA-4eb8-9CBF-B6C8F9C3D259}">
          <x15:cachedUniqueNames>
            <x15:cachedUniqueName index="0" name="[Range].[Day].&amp;[1]"/>
            <x15:cachedUniqueName index="1" name="[Range].[Day].&amp;[2]"/>
            <x15:cachedUniqueName index="2" name="[Range].[Day].&amp;[3]"/>
            <x15:cachedUniqueName index="3" name="[Range].[Day].&amp;[4]"/>
            <x15:cachedUniqueName index="4" name="[Range].[Day].&amp;[5]"/>
            <x15:cachedUniqueName index="5" name="[Range].[Day].&amp;[6]"/>
            <x15:cachedUniqueName index="6" name="[Range].[Day].&amp;[7]"/>
            <x15:cachedUniqueName index="7" name="[Range].[Day].&amp;[8]"/>
            <x15:cachedUniqueName index="8" name="[Range].[Day].&amp;[9]"/>
            <x15:cachedUniqueName index="9" name="[Range].[Day].&amp;[10]"/>
            <x15:cachedUniqueName index="10" name="[Range].[Day].&amp;[11]"/>
            <x15:cachedUniqueName index="11" name="[Range].[Day].&amp;[12]"/>
            <x15:cachedUniqueName index="12" name="[Range].[Day].&amp;[13]"/>
            <x15:cachedUniqueName index="13" name="[Range].[Day].&amp;[14]"/>
            <x15:cachedUniqueName index="14" name="[Range].[Day].&amp;[15]"/>
            <x15:cachedUniqueName index="15" name="[Range].[Day].&amp;[16]"/>
            <x15:cachedUniqueName index="16" name="[Range].[Day].&amp;[17]"/>
            <x15:cachedUniqueName index="17" name="[Range].[Day].&amp;[18]"/>
            <x15:cachedUniqueName index="18" name="[Range].[Day].&amp;[19]"/>
            <x15:cachedUniqueName index="19" name="[Range].[Day].&amp;[20]"/>
            <x15:cachedUniqueName index="20" name="[Range].[Day].&amp;[21]"/>
            <x15:cachedUniqueName index="21" name="[Range].[Day].&amp;[22]"/>
            <x15:cachedUniqueName index="22" name="[Range].[Day].&amp;[23]"/>
            <x15:cachedUniqueName index="23" name="[Range].[Day].&amp;[24]"/>
            <x15:cachedUniqueName index="24" name="[Range].[Day].&amp;[25]"/>
            <x15:cachedUniqueName index="25" name="[Range].[Day].&amp;[26]"/>
            <x15:cachedUniqueName index="26" name="[Range].[Day].&amp;[27]"/>
            <x15:cachedUniqueName index="27" name="[Range].[Day].&amp;[28]"/>
            <x15:cachedUniqueName index="28" name="[Range].[Day].&amp;[29]"/>
            <x15:cachedUniqueName index="29" name="[Range].[Day].&amp;[30]"/>
          </x15:cachedUniqueNames>
        </ext>
      </extLst>
    </cacheField>
  </cacheFields>
  <cacheHierarchies count="23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20" unbalanced="0">
      <fieldsUsage count="2">
        <fieldUsage x="-1"/>
        <fieldUsage x="1"/>
      </fieldsUsage>
    </cacheHierarchy>
    <cacheHierarchy uniqueName="[Range].[Daily Active Wallets]" caption="Daily Active Wallets" attribute="1" defaultMemberUniqueName="[Range].[Daily Active Wallets].[All]" allUniqueName="[Range].[Daily Active Wallets].[All]" dimensionUniqueName="[Range]" displayFolder="" count="0" memberValueDatatype="20" unbalanced="0"/>
    <cacheHierarchy uniqueName="[Range].[New Wallets]" caption="New Wallets" attribute="1" defaultMemberUniqueName="[Range].[New Wallets].[All]" allUniqueName="[Range].[New Wallets].[All]" dimensionUniqueName="[Range]" displayFolder="" count="0" memberValueDatatype="20" unbalanced="0"/>
    <cacheHierarchy uniqueName="[Range].[Files Uploaded]" caption="Files Uploaded" attribute="1" defaultMemberUniqueName="[Range].[Files Uploaded].[All]" allUniqueName="[Range].[Files Uploaded].[All]" dimensionUniqueName="[Range]" displayFolder="" count="0" memberValueDatatype="20" unbalanced="0"/>
    <cacheHierarchy uniqueName="[Range].[Total Storage Used (GB)]" caption="Total Storage Used (GB)" attribute="1" defaultMemberUniqueName="[Range].[Total Storage Used (GB)].[All]" allUniqueName="[Range].[Total Storage Used (GB)].[All]" dimensionUniqueName="[Range]" displayFolder="" count="0" memberValueDatatype="5" unbalanced="0"/>
    <cacheHierarchy uniqueName="[Range].[Average File Size (MB)]" caption="Average File Size (MB)" attribute="1" defaultMemberUniqueName="[Range].[Average File Size (MB)].[All]" allUniqueName="[Range].[Average File Size (MB)].[All]" dimensionUniqueName="[Range]" displayFolder="" count="0" memberValueDatatype="5" unbalanced="0"/>
    <cacheHierarchy uniqueName="[Range].[Successful Uploads]" caption="Successful Uploads" attribute="1" defaultMemberUniqueName="[Range].[Successful Uploads].[All]" allUniqueName="[Range].[Successful Uploads].[All]" dimensionUniqueName="[Range]" displayFolder="" count="0" memberValueDatatype="20" unbalanced="0"/>
    <cacheHierarchy uniqueName="[Range].[Failed Uploads]" caption="Failed Uploads" attribute="1" defaultMemberUniqueName="[Range].[Failed Uploads].[All]" allUniqueName="[Range].[Failed Uploads].[All]" dimensionUniqueName="[Range]" displayFolder="" count="0" memberValueDatatype="20" unbalanced="0"/>
    <cacheHierarchy uniqueName="[Range].[Average Upload Time (sec)]" caption="Average Upload Time (sec)" attribute="1" defaultMemberUniqueName="[Range].[Average Upload Time (sec)].[All]" allUniqueName="[Range].[Average Upload Time (sec)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ily Active Wallets]" caption="Sum of Daily Active Walle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w Wallets]" caption="Sum of New Wallet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Storage Used (GB)]" caption="Sum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otal Storage Used (GB)]" caption="Max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iles Uploaded]" caption="Sum of Files Uploade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ccessful Uploads]" caption="Sum of Successful Upload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ailed Uploads]" caption="Sum of Failed Upload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erage Upload Time (sec)]" caption="Sum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Upload Time (sec)]" caption="Average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ay]" caption="Sum of Da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 File Size (MB)]" caption="Sum of Average File Size (MB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NERSHIP" refreshedDate="46045.932456828705" backgroundQuery="1" createdVersion="8" refreshedVersion="8" minRefreshableVersion="3" recordCount="0" supportSubquery="1" supportAdvancedDrill="1" xr:uid="{FE709B66-A05B-405E-8F12-99CEAB29DC83}">
  <cacheSource type="external" connectionId="1"/>
  <cacheFields count="2">
    <cacheField name="[Measures].[Sum of Daily Active Wallets]" caption="Sum of Daily Active Wallets" numFmtId="0" hierarchy="12" level="32767"/>
    <cacheField name="[Range].[Day].[Day]" caption="Day" numFmtId="0" hierarchy="1" level="1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  <extLst>
        <ext xmlns:x15="http://schemas.microsoft.com/office/spreadsheetml/2010/11/main" uri="{4F2E5C28-24EA-4eb8-9CBF-B6C8F9C3D259}">
          <x15:cachedUniqueNames>
            <x15:cachedUniqueName index="0" name="[Range].[Day].&amp;[1]"/>
            <x15:cachedUniqueName index="1" name="[Range].[Day].&amp;[2]"/>
            <x15:cachedUniqueName index="2" name="[Range].[Day].&amp;[3]"/>
            <x15:cachedUniqueName index="3" name="[Range].[Day].&amp;[4]"/>
            <x15:cachedUniqueName index="4" name="[Range].[Day].&amp;[5]"/>
            <x15:cachedUniqueName index="5" name="[Range].[Day].&amp;[6]"/>
            <x15:cachedUniqueName index="6" name="[Range].[Day].&amp;[7]"/>
            <x15:cachedUniqueName index="7" name="[Range].[Day].&amp;[8]"/>
            <x15:cachedUniqueName index="8" name="[Range].[Day].&amp;[9]"/>
            <x15:cachedUniqueName index="9" name="[Range].[Day].&amp;[10]"/>
            <x15:cachedUniqueName index="10" name="[Range].[Day].&amp;[11]"/>
            <x15:cachedUniqueName index="11" name="[Range].[Day].&amp;[12]"/>
            <x15:cachedUniqueName index="12" name="[Range].[Day].&amp;[13]"/>
            <x15:cachedUniqueName index="13" name="[Range].[Day].&amp;[14]"/>
            <x15:cachedUniqueName index="14" name="[Range].[Day].&amp;[15]"/>
            <x15:cachedUniqueName index="15" name="[Range].[Day].&amp;[16]"/>
            <x15:cachedUniqueName index="16" name="[Range].[Day].&amp;[17]"/>
            <x15:cachedUniqueName index="17" name="[Range].[Day].&amp;[18]"/>
            <x15:cachedUniqueName index="18" name="[Range].[Day].&amp;[19]"/>
            <x15:cachedUniqueName index="19" name="[Range].[Day].&amp;[20]"/>
            <x15:cachedUniqueName index="20" name="[Range].[Day].&amp;[21]"/>
            <x15:cachedUniqueName index="21" name="[Range].[Day].&amp;[22]"/>
            <x15:cachedUniqueName index="22" name="[Range].[Day].&amp;[23]"/>
            <x15:cachedUniqueName index="23" name="[Range].[Day].&amp;[24]"/>
            <x15:cachedUniqueName index="24" name="[Range].[Day].&amp;[25]"/>
            <x15:cachedUniqueName index="25" name="[Range].[Day].&amp;[26]"/>
            <x15:cachedUniqueName index="26" name="[Range].[Day].&amp;[27]"/>
            <x15:cachedUniqueName index="27" name="[Range].[Day].&amp;[28]"/>
            <x15:cachedUniqueName index="28" name="[Range].[Day].&amp;[29]"/>
            <x15:cachedUniqueName index="29" name="[Range].[Day].&amp;[30]"/>
          </x15:cachedUniqueNames>
        </ext>
      </extLst>
    </cacheField>
  </cacheFields>
  <cacheHierarchies count="23">
    <cacheHierarchy uniqueName="[Range].[Date]" caption="Date" attribute="1" defaultMemberUniqueName="[Range].[Date].[All]" allUniqueName="[Range].[Date].[All]" dimensionUniqueName="[Range]" displayFolder="" count="2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20" unbalanced="0">
      <fieldsUsage count="2">
        <fieldUsage x="-1"/>
        <fieldUsage x="1"/>
      </fieldsUsage>
    </cacheHierarchy>
    <cacheHierarchy uniqueName="[Range].[Daily Active Wallets]" caption="Daily Active Wallets" attribute="1" defaultMemberUniqueName="[Range].[Daily Active Wallets].[All]" allUniqueName="[Range].[Daily Active Wallets].[All]" dimensionUniqueName="[Range]" displayFolder="" count="2" memberValueDatatype="20" unbalanced="0"/>
    <cacheHierarchy uniqueName="[Range].[New Wallets]" caption="New Wallets" attribute="1" defaultMemberUniqueName="[Range].[New Wallets].[All]" allUniqueName="[Range].[New Wallets].[All]" dimensionUniqueName="[Range]" displayFolder="" count="2" memberValueDatatype="20" unbalanced="0"/>
    <cacheHierarchy uniqueName="[Range].[Files Uploaded]" caption="Files Uploaded" attribute="1" defaultMemberUniqueName="[Range].[Files Uploaded].[All]" allUniqueName="[Range].[Files Uploaded].[All]" dimensionUniqueName="[Range]" displayFolder="" count="2" memberValueDatatype="20" unbalanced="0"/>
    <cacheHierarchy uniqueName="[Range].[Total Storage Used (GB)]" caption="Total Storage Used (GB)" attribute="1" defaultMemberUniqueName="[Range].[Total Storage Used (GB)].[All]" allUniqueName="[Range].[Total Storage Used (GB)].[All]" dimensionUniqueName="[Range]" displayFolder="" count="2" memberValueDatatype="5" unbalanced="0"/>
    <cacheHierarchy uniqueName="[Range].[Average File Size (MB)]" caption="Average File Size (MB)" attribute="1" defaultMemberUniqueName="[Range].[Average File Size (MB)].[All]" allUniqueName="[Range].[Average File Size (MB)].[All]" dimensionUniqueName="[Range]" displayFolder="" count="2" memberValueDatatype="5" unbalanced="0"/>
    <cacheHierarchy uniqueName="[Range].[Successful Uploads]" caption="Successful Uploads" attribute="1" defaultMemberUniqueName="[Range].[Successful Uploads].[All]" allUniqueName="[Range].[Successful Uploads].[All]" dimensionUniqueName="[Range]" displayFolder="" count="2" memberValueDatatype="20" unbalanced="0"/>
    <cacheHierarchy uniqueName="[Range].[Failed Uploads]" caption="Failed Uploads" attribute="1" defaultMemberUniqueName="[Range].[Failed Uploads].[All]" allUniqueName="[Range].[Failed Uploads].[All]" dimensionUniqueName="[Range]" displayFolder="" count="2" memberValueDatatype="20" unbalanced="0"/>
    <cacheHierarchy uniqueName="[Range].[Average Upload Time (sec)]" caption="Average Upload Time (sec)" attribute="1" defaultMemberUniqueName="[Range].[Average Upload Time (sec)].[All]" allUniqueName="[Range].[Average Upload Time (sec)].[All]" dimensionUniqueName="[Range]" displayFolder="" count="2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ily Active Wallets]" caption="Sum of Daily Active Wallet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w Wallets]" caption="Sum of New Wallet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Storage Used (GB)]" caption="Sum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otal Storage Used (GB)]" caption="Max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iles Uploaded]" caption="Sum of Files Uploade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ccessful Uploads]" caption="Sum of Successful Upload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ailed Uploads]" caption="Sum of Failed Upload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erage Upload Time (sec)]" caption="Sum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Upload Time (sec)]" caption="Average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ay]" caption="Sum of Da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 File Size (MB)]" caption="Sum of Average File Size (MB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NERSHIP" refreshedDate="46046.603465509259" backgroundQuery="1" createdVersion="8" refreshedVersion="8" minRefreshableVersion="3" recordCount="0" supportSubquery="1" supportAdvancedDrill="1" xr:uid="{258888F1-082A-4C8D-8F96-88A730E95B38}">
  <cacheSource type="external" connectionId="1"/>
  <cacheFields count="2">
    <cacheField name="[Range].[Day].[Day]" caption="Day" numFmtId="0" hierarchy="1" level="1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  <extLst>
        <ext xmlns:x15="http://schemas.microsoft.com/office/spreadsheetml/2010/11/main" uri="{4F2E5C28-24EA-4eb8-9CBF-B6C8F9C3D259}">
          <x15:cachedUniqueNames>
            <x15:cachedUniqueName index="0" name="[Range].[Day].&amp;[1]"/>
            <x15:cachedUniqueName index="1" name="[Range].[Day].&amp;[2]"/>
            <x15:cachedUniqueName index="2" name="[Range].[Day].&amp;[3]"/>
            <x15:cachedUniqueName index="3" name="[Range].[Day].&amp;[4]"/>
            <x15:cachedUniqueName index="4" name="[Range].[Day].&amp;[5]"/>
            <x15:cachedUniqueName index="5" name="[Range].[Day].&amp;[6]"/>
            <x15:cachedUniqueName index="6" name="[Range].[Day].&amp;[7]"/>
            <x15:cachedUniqueName index="7" name="[Range].[Day].&amp;[8]"/>
            <x15:cachedUniqueName index="8" name="[Range].[Day].&amp;[9]"/>
            <x15:cachedUniqueName index="9" name="[Range].[Day].&amp;[10]"/>
            <x15:cachedUniqueName index="10" name="[Range].[Day].&amp;[11]"/>
            <x15:cachedUniqueName index="11" name="[Range].[Day].&amp;[12]"/>
            <x15:cachedUniqueName index="12" name="[Range].[Day].&amp;[13]"/>
            <x15:cachedUniqueName index="13" name="[Range].[Day].&amp;[14]"/>
            <x15:cachedUniqueName index="14" name="[Range].[Day].&amp;[15]"/>
            <x15:cachedUniqueName index="15" name="[Range].[Day].&amp;[16]"/>
            <x15:cachedUniqueName index="16" name="[Range].[Day].&amp;[17]"/>
            <x15:cachedUniqueName index="17" name="[Range].[Day].&amp;[18]"/>
            <x15:cachedUniqueName index="18" name="[Range].[Day].&amp;[19]"/>
            <x15:cachedUniqueName index="19" name="[Range].[Day].&amp;[20]"/>
            <x15:cachedUniqueName index="20" name="[Range].[Day].&amp;[21]"/>
            <x15:cachedUniqueName index="21" name="[Range].[Day].&amp;[22]"/>
            <x15:cachedUniqueName index="22" name="[Range].[Day].&amp;[23]"/>
            <x15:cachedUniqueName index="23" name="[Range].[Day].&amp;[24]"/>
            <x15:cachedUniqueName index="24" name="[Range].[Day].&amp;[25]"/>
            <x15:cachedUniqueName index="25" name="[Range].[Day].&amp;[26]"/>
            <x15:cachedUniqueName index="26" name="[Range].[Day].&amp;[27]"/>
            <x15:cachedUniqueName index="27" name="[Range].[Day].&amp;[28]"/>
            <x15:cachedUniqueName index="28" name="[Range].[Day].&amp;[29]"/>
            <x15:cachedUniqueName index="29" name="[Range].[Day].&amp;[30]"/>
          </x15:cachedUniqueNames>
        </ext>
      </extLst>
    </cacheField>
    <cacheField name="[Measures].[Sum of Average File Size (MB)]" caption="Sum of Average File Size (MB)" numFmtId="0" hierarchy="22" level="32767"/>
  </cacheFields>
  <cacheHierarchies count="23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2" memberValueDatatype="20" unbalanced="0">
      <fieldsUsage count="2">
        <fieldUsage x="-1"/>
        <fieldUsage x="0"/>
      </fieldsUsage>
    </cacheHierarchy>
    <cacheHierarchy uniqueName="[Range].[Daily Active Wallets]" caption="Daily Active Wallets" attribute="1" defaultMemberUniqueName="[Range].[Daily Active Wallets].[All]" allUniqueName="[Range].[Daily Active Wallets].[All]" dimensionUniqueName="[Range]" displayFolder="" count="0" memberValueDatatype="20" unbalanced="0"/>
    <cacheHierarchy uniqueName="[Range].[New Wallets]" caption="New Wallets" attribute="1" defaultMemberUniqueName="[Range].[New Wallets].[All]" allUniqueName="[Range].[New Wallets].[All]" dimensionUniqueName="[Range]" displayFolder="" count="0" memberValueDatatype="20" unbalanced="0"/>
    <cacheHierarchy uniqueName="[Range].[Files Uploaded]" caption="Files Uploaded" attribute="1" defaultMemberUniqueName="[Range].[Files Uploaded].[All]" allUniqueName="[Range].[Files Uploaded].[All]" dimensionUniqueName="[Range]" displayFolder="" count="0" memberValueDatatype="20" unbalanced="0"/>
    <cacheHierarchy uniqueName="[Range].[Total Storage Used (GB)]" caption="Total Storage Used (GB)" attribute="1" defaultMemberUniqueName="[Range].[Total Storage Used (GB)].[All]" allUniqueName="[Range].[Total Storage Used (GB)].[All]" dimensionUniqueName="[Range]" displayFolder="" count="0" memberValueDatatype="5" unbalanced="0"/>
    <cacheHierarchy uniqueName="[Range].[Average File Size (MB)]" caption="Average File Size (MB)" attribute="1" defaultMemberUniqueName="[Range].[Average File Size (MB)].[All]" allUniqueName="[Range].[Average File Size (MB)].[All]" dimensionUniqueName="[Range]" displayFolder="" count="0" memberValueDatatype="5" unbalanced="0"/>
    <cacheHierarchy uniqueName="[Range].[Successful Uploads]" caption="Successful Uploads" attribute="1" defaultMemberUniqueName="[Range].[Successful Uploads].[All]" allUniqueName="[Range].[Successful Uploads].[All]" dimensionUniqueName="[Range]" displayFolder="" count="0" memberValueDatatype="20" unbalanced="0"/>
    <cacheHierarchy uniqueName="[Range].[Failed Uploads]" caption="Failed Uploads" attribute="1" defaultMemberUniqueName="[Range].[Failed Uploads].[All]" allUniqueName="[Range].[Failed Uploads].[All]" dimensionUniqueName="[Range]" displayFolder="" count="0" memberValueDatatype="20" unbalanced="0"/>
    <cacheHierarchy uniqueName="[Range].[Average Upload Time (sec)]" caption="Average Upload Time (sec)" attribute="1" defaultMemberUniqueName="[Range].[Average Upload Time (sec)].[All]" allUniqueName="[Range].[Average Upload Time (sec)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ily Active Wallets]" caption="Sum of Daily Active Wallet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w Wallets]" caption="Sum of New Wallet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Storage Used (GB)]" caption="Sum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otal Storage Used (GB)]" caption="Max of Total Storage Used (GB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Files Uploaded]" caption="Sum of Files Uploade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ccessful Uploads]" caption="Sum of Successful Upload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ailed Uploads]" caption="Sum of Failed Upload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erage Upload Time (sec)]" caption="Sum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Upload Time (sec)]" caption="Average of Average Upload Time (sec)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ay]" caption="Sum of Da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 File Size (MB)]" caption="Sum of Average File Size (MB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8E83F-8D0A-44A0-BA85-A195F361FCC0}" name="PivotTable7" cacheId="2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BG3:BH34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Average File Size (MB)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Total Storage Used (GB)"/>
    <pivotHierarchy dragToData="1"/>
    <pivotHierarchy dragToData="1"/>
    <pivotHierarchy dragToData="1"/>
    <pivotHierarchy dragToData="1"/>
    <pivotHierarchy dragToData="1" caption="Average of Average Upload Time (sec)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uffa_V2_Mock_Data!$A$1:$I$3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ECFD6-5114-4057-ADA9-E12B1FEF323C}" name="PivotTable6" cacheId="2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AX3:AY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Average Upload Time (sec)" fld="0" subtotal="average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Total Storage Used (GB)"/>
    <pivotHierarchy dragToData="1"/>
    <pivotHierarchy dragToData="1"/>
    <pivotHierarchy dragToData="1"/>
    <pivotHierarchy dragToData="1"/>
    <pivotHierarchy dragToData="1" caption="Average of Average Upload Time (sec)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uffa_V2_Mock_Data!$A$1:$I$3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FCD56-ED5B-4024-A1E3-F145B488E1E1}" name="PivotTable5" cacheId="2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>
  <location ref="AL3:AN3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ccessful Uploads" fld="0" baseField="0" baseItem="0"/>
    <dataField name="Sum of Failed Uploads" fld="1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Total Storage Used (GB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uffa_V2_Mock_Data!$A$1:$I$3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DEB7A-7799-4D03-B8FD-31E2B9C101AB}" name="PivotTable4" cacheId="2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>
  <location ref="AA3:AB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Files Uploaded" fld="0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Total Storage Used (GB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uffa_V2_Mock_Data!$A$1:$I$3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12455-A07D-4A27-BD6D-D7D0F79DBDCF}" name="PivotTable3" cacheId="2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>
  <location ref="P3:Q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Max of Total Storage Used (GB)" fld="0" subtotal="max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Total Storage Used (GB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uffa_V2_Mock_Data!$A$1:$I$3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9FF7A-CAB3-459D-915D-61377BBE0C01}" name="PivotTable2" cacheId="2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H3:I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New Wallets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uffa_V2_Mock_Data!$A$1:$I$3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E9E74-B132-41E7-9CF8-64D0AA201424}" name="PivotTable1" cacheId="2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>
  <location ref="A3:B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Daily Active Wallet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uffa_V2_Mock_Data!$A$1:$I$3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750B-2427-4403-941F-C583B2F82F76}" name="Table1" displayName="Table1" ref="A1:J31" totalsRowShown="0">
  <autoFilter ref="A1:J31" xr:uid="{1DC4750B-2427-4403-941F-C583B2F82F76}"/>
  <tableColumns count="10">
    <tableColumn id="1" xr3:uid="{C114B5C5-A5A1-46D1-B694-A20A715197DE}" name="Date"/>
    <tableColumn id="2" xr3:uid="{D20633D3-698B-4CD7-A8BD-1F015DC58C2F}" name="Day">
      <calculatedColumnFormula>DAY(A2)</calculatedColumnFormula>
    </tableColumn>
    <tableColumn id="3" xr3:uid="{FF84EF23-31F6-4DCB-8EEF-1AA0120F17C3}" name="Daily Active Wallets"/>
    <tableColumn id="4" xr3:uid="{2627576C-5EFB-4F36-8E87-047325542C6C}" name="New Wallets"/>
    <tableColumn id="5" xr3:uid="{15B6401D-6B66-40A2-9488-E30EFA752015}" name="Files Uploaded"/>
    <tableColumn id="6" xr3:uid="{784520CA-AEA9-4E49-96D9-5C404B3B5C0E}" name="Total Storage Used (GB)"/>
    <tableColumn id="7" xr3:uid="{54EC2C72-76CE-47C7-8B7C-B81E4F0B2F40}" name="Average File Size (MB)"/>
    <tableColumn id="8" xr3:uid="{C604BD86-F8E5-4FE2-B540-3049236B6861}" name="Successful Uploads"/>
    <tableColumn id="9" xr3:uid="{C5C9DF25-7B82-4365-A4C1-0A47352F59B2}" name="Failed Uploads"/>
    <tableColumn id="10" xr3:uid="{7F9ED223-AE75-4373-97D2-DB5BAC199753}" name="Average Upload Time (sec)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G12" sqref="G12"/>
    </sheetView>
  </sheetViews>
  <sheetFormatPr defaultRowHeight="14.4" x14ac:dyDescent="0.3"/>
  <cols>
    <col min="1" max="1" width="10.33203125" bestFit="1" customWidth="1"/>
    <col min="2" max="2" width="10.33203125" customWidth="1"/>
    <col min="3" max="3" width="19.21875" customWidth="1"/>
    <col min="4" max="4" width="13.21875" customWidth="1"/>
    <col min="5" max="5" width="15.109375" customWidth="1"/>
    <col min="6" max="6" width="22.77734375" customWidth="1"/>
    <col min="7" max="7" width="21.33203125" customWidth="1"/>
    <col min="8" max="8" width="18.88671875" customWidth="1"/>
    <col min="9" max="9" width="15.109375" customWidth="1"/>
    <col min="10" max="10" width="25.33203125" customWidth="1"/>
  </cols>
  <sheetData>
    <row r="1" spans="1:10" x14ac:dyDescent="0.3">
      <c r="A1" t="s">
        <v>0</v>
      </c>
      <c r="B1" t="s">
        <v>54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f>DAY(A2)</f>
        <v>1</v>
      </c>
      <c r="C2">
        <v>142</v>
      </c>
      <c r="D2">
        <v>42</v>
      </c>
      <c r="E2">
        <v>282</v>
      </c>
      <c r="F2">
        <v>503.15</v>
      </c>
      <c r="G2">
        <v>11.45</v>
      </c>
      <c r="H2">
        <v>273</v>
      </c>
      <c r="I2">
        <v>9</v>
      </c>
      <c r="J2">
        <v>4.12</v>
      </c>
    </row>
    <row r="3" spans="1:10" x14ac:dyDescent="0.3">
      <c r="A3" t="s">
        <v>10</v>
      </c>
      <c r="B3">
        <f t="shared" ref="B3:B31" si="0">DAY(A3)</f>
        <v>2</v>
      </c>
      <c r="C3">
        <v>244</v>
      </c>
      <c r="D3">
        <v>23</v>
      </c>
      <c r="E3">
        <v>237</v>
      </c>
      <c r="F3">
        <v>508.37</v>
      </c>
      <c r="G3">
        <v>22.56</v>
      </c>
      <c r="H3">
        <v>232</v>
      </c>
      <c r="I3">
        <v>5</v>
      </c>
      <c r="J3">
        <v>2.4</v>
      </c>
    </row>
    <row r="4" spans="1:10" x14ac:dyDescent="0.3">
      <c r="A4" t="s">
        <v>11</v>
      </c>
      <c r="B4">
        <f t="shared" si="0"/>
        <v>3</v>
      </c>
      <c r="C4">
        <v>120</v>
      </c>
      <c r="D4">
        <v>26</v>
      </c>
      <c r="E4">
        <v>542</v>
      </c>
      <c r="F4">
        <v>519.9</v>
      </c>
      <c r="G4">
        <v>21.78</v>
      </c>
      <c r="H4">
        <v>531</v>
      </c>
      <c r="I4">
        <v>11</v>
      </c>
      <c r="J4">
        <v>3.38</v>
      </c>
    </row>
    <row r="5" spans="1:10" x14ac:dyDescent="0.3">
      <c r="A5" t="s">
        <v>12</v>
      </c>
      <c r="B5">
        <f t="shared" si="0"/>
        <v>4</v>
      </c>
      <c r="C5">
        <v>276</v>
      </c>
      <c r="D5">
        <v>22</v>
      </c>
      <c r="E5">
        <v>696</v>
      </c>
      <c r="F5">
        <v>532.66</v>
      </c>
      <c r="G5">
        <v>18.77</v>
      </c>
      <c r="H5">
        <v>674</v>
      </c>
      <c r="I5">
        <v>22</v>
      </c>
      <c r="J5">
        <v>2.36</v>
      </c>
    </row>
    <row r="6" spans="1:10" x14ac:dyDescent="0.3">
      <c r="A6" t="s">
        <v>13</v>
      </c>
      <c r="B6">
        <f t="shared" si="0"/>
        <v>5</v>
      </c>
      <c r="C6">
        <v>259</v>
      </c>
      <c r="D6">
        <v>41</v>
      </c>
      <c r="E6">
        <v>462</v>
      </c>
      <c r="F6">
        <v>544.09</v>
      </c>
      <c r="G6">
        <v>25.34</v>
      </c>
      <c r="H6">
        <v>453</v>
      </c>
      <c r="I6">
        <v>9</v>
      </c>
      <c r="J6">
        <v>3.76</v>
      </c>
    </row>
    <row r="7" spans="1:10" x14ac:dyDescent="0.3">
      <c r="A7" t="s">
        <v>14</v>
      </c>
      <c r="B7">
        <f t="shared" si="0"/>
        <v>6</v>
      </c>
      <c r="C7">
        <v>299</v>
      </c>
      <c r="D7">
        <v>18</v>
      </c>
      <c r="E7">
        <v>572</v>
      </c>
      <c r="F7">
        <v>555.70000000000005</v>
      </c>
      <c r="G7">
        <v>20.77</v>
      </c>
      <c r="H7">
        <v>545</v>
      </c>
      <c r="I7">
        <v>27</v>
      </c>
      <c r="J7">
        <v>3.94</v>
      </c>
    </row>
    <row r="8" spans="1:10" x14ac:dyDescent="0.3">
      <c r="A8" t="s">
        <v>15</v>
      </c>
      <c r="B8">
        <f t="shared" si="0"/>
        <v>7</v>
      </c>
      <c r="C8">
        <v>171</v>
      </c>
      <c r="D8">
        <v>19</v>
      </c>
      <c r="E8">
        <v>362</v>
      </c>
      <c r="F8">
        <v>561.71</v>
      </c>
      <c r="G8">
        <v>17.010000000000002</v>
      </c>
      <c r="H8">
        <v>345</v>
      </c>
      <c r="I8">
        <v>17</v>
      </c>
      <c r="J8">
        <v>2.79</v>
      </c>
    </row>
    <row r="9" spans="1:10" x14ac:dyDescent="0.3">
      <c r="A9" t="s">
        <v>16</v>
      </c>
      <c r="B9">
        <f t="shared" si="0"/>
        <v>8</v>
      </c>
      <c r="C9">
        <v>230</v>
      </c>
      <c r="D9">
        <v>41</v>
      </c>
      <c r="E9">
        <v>408</v>
      </c>
      <c r="F9">
        <v>569.41999999999996</v>
      </c>
      <c r="G9">
        <v>19.350000000000001</v>
      </c>
      <c r="H9">
        <v>402</v>
      </c>
      <c r="I9">
        <v>6</v>
      </c>
      <c r="J9">
        <v>3.26</v>
      </c>
    </row>
    <row r="10" spans="1:10" x14ac:dyDescent="0.3">
      <c r="A10" t="s">
        <v>17</v>
      </c>
      <c r="B10">
        <f t="shared" si="0"/>
        <v>9</v>
      </c>
      <c r="C10">
        <v>306</v>
      </c>
      <c r="D10">
        <v>26</v>
      </c>
      <c r="E10">
        <v>342</v>
      </c>
      <c r="F10">
        <v>573.07000000000005</v>
      </c>
      <c r="G10">
        <v>10.92</v>
      </c>
      <c r="H10">
        <v>336</v>
      </c>
      <c r="I10">
        <v>6</v>
      </c>
      <c r="J10">
        <v>2.57</v>
      </c>
    </row>
    <row r="11" spans="1:10" x14ac:dyDescent="0.3">
      <c r="A11" t="s">
        <v>18</v>
      </c>
      <c r="B11">
        <f t="shared" si="0"/>
        <v>10</v>
      </c>
      <c r="C11">
        <v>203</v>
      </c>
      <c r="D11">
        <v>41</v>
      </c>
      <c r="E11">
        <v>630</v>
      </c>
      <c r="F11">
        <v>581.99</v>
      </c>
      <c r="G11">
        <v>14.51</v>
      </c>
      <c r="H11">
        <v>610</v>
      </c>
      <c r="I11">
        <v>20</v>
      </c>
      <c r="J11">
        <v>1.9</v>
      </c>
    </row>
    <row r="12" spans="1:10" x14ac:dyDescent="0.3">
      <c r="A12" t="s">
        <v>19</v>
      </c>
      <c r="B12">
        <f t="shared" si="0"/>
        <v>11</v>
      </c>
      <c r="C12">
        <v>230</v>
      </c>
      <c r="D12">
        <v>20</v>
      </c>
      <c r="E12">
        <v>547</v>
      </c>
      <c r="F12">
        <v>587.92999999999995</v>
      </c>
      <c r="G12">
        <v>11.12</v>
      </c>
      <c r="H12">
        <v>523</v>
      </c>
      <c r="I12">
        <v>24</v>
      </c>
      <c r="J12">
        <v>1.97</v>
      </c>
    </row>
    <row r="13" spans="1:10" x14ac:dyDescent="0.3">
      <c r="A13" t="s">
        <v>20</v>
      </c>
      <c r="B13">
        <f t="shared" si="0"/>
        <v>12</v>
      </c>
      <c r="C13">
        <v>186</v>
      </c>
      <c r="D13">
        <v>35</v>
      </c>
      <c r="E13">
        <v>493</v>
      </c>
      <c r="F13">
        <v>596.97</v>
      </c>
      <c r="G13">
        <v>18.77</v>
      </c>
      <c r="H13">
        <v>480</v>
      </c>
      <c r="I13">
        <v>13</v>
      </c>
      <c r="J13">
        <v>2.73</v>
      </c>
    </row>
    <row r="14" spans="1:10" x14ac:dyDescent="0.3">
      <c r="A14" t="s">
        <v>21</v>
      </c>
      <c r="B14">
        <f t="shared" si="0"/>
        <v>13</v>
      </c>
      <c r="C14">
        <v>299</v>
      </c>
      <c r="D14">
        <v>30</v>
      </c>
      <c r="E14">
        <v>741</v>
      </c>
      <c r="F14">
        <v>602.55999999999995</v>
      </c>
      <c r="G14">
        <v>7.73</v>
      </c>
      <c r="H14">
        <v>717</v>
      </c>
      <c r="I14">
        <v>24</v>
      </c>
      <c r="J14">
        <v>3.67</v>
      </c>
    </row>
    <row r="15" spans="1:10" x14ac:dyDescent="0.3">
      <c r="A15" t="s">
        <v>22</v>
      </c>
      <c r="B15">
        <f t="shared" si="0"/>
        <v>14</v>
      </c>
      <c r="C15">
        <v>127</v>
      </c>
      <c r="D15">
        <v>37</v>
      </c>
      <c r="E15">
        <v>683</v>
      </c>
      <c r="F15">
        <v>620.02</v>
      </c>
      <c r="G15">
        <v>26.18</v>
      </c>
      <c r="H15">
        <v>652</v>
      </c>
      <c r="I15">
        <v>31</v>
      </c>
      <c r="J15">
        <v>1.9</v>
      </c>
    </row>
    <row r="16" spans="1:10" x14ac:dyDescent="0.3">
      <c r="A16" t="s">
        <v>23</v>
      </c>
      <c r="B16">
        <f t="shared" si="0"/>
        <v>15</v>
      </c>
      <c r="C16">
        <v>124</v>
      </c>
      <c r="D16">
        <v>37</v>
      </c>
      <c r="E16">
        <v>698</v>
      </c>
      <c r="F16">
        <v>634.97</v>
      </c>
      <c r="G16">
        <v>21.92</v>
      </c>
      <c r="H16">
        <v>681</v>
      </c>
      <c r="I16">
        <v>17</v>
      </c>
      <c r="J16">
        <v>3.69</v>
      </c>
    </row>
    <row r="17" spans="1:10" x14ac:dyDescent="0.3">
      <c r="A17" t="s">
        <v>24</v>
      </c>
      <c r="B17">
        <f t="shared" si="0"/>
        <v>16</v>
      </c>
      <c r="C17">
        <v>149</v>
      </c>
      <c r="D17">
        <v>45</v>
      </c>
      <c r="E17">
        <v>492</v>
      </c>
      <c r="F17">
        <v>647.78</v>
      </c>
      <c r="G17">
        <v>26.67</v>
      </c>
      <c r="H17">
        <v>485</v>
      </c>
      <c r="I17">
        <v>7</v>
      </c>
      <c r="J17">
        <v>2.0699999999999998</v>
      </c>
    </row>
    <row r="18" spans="1:10" x14ac:dyDescent="0.3">
      <c r="A18" t="s">
        <v>25</v>
      </c>
      <c r="B18">
        <f t="shared" si="0"/>
        <v>17</v>
      </c>
      <c r="C18">
        <v>250</v>
      </c>
      <c r="D18">
        <v>27</v>
      </c>
      <c r="E18">
        <v>473</v>
      </c>
      <c r="F18">
        <v>652.51</v>
      </c>
      <c r="G18">
        <v>10.24</v>
      </c>
      <c r="H18">
        <v>467</v>
      </c>
      <c r="I18">
        <v>6</v>
      </c>
      <c r="J18">
        <v>2.25</v>
      </c>
    </row>
    <row r="19" spans="1:10" x14ac:dyDescent="0.3">
      <c r="A19" t="s">
        <v>26</v>
      </c>
      <c r="B19">
        <f t="shared" si="0"/>
        <v>18</v>
      </c>
      <c r="C19">
        <v>130</v>
      </c>
      <c r="D19">
        <v>26</v>
      </c>
      <c r="E19">
        <v>658</v>
      </c>
      <c r="F19">
        <v>661.1</v>
      </c>
      <c r="G19">
        <v>13.36</v>
      </c>
      <c r="H19">
        <v>649</v>
      </c>
      <c r="I19">
        <v>9</v>
      </c>
      <c r="J19">
        <v>2.27</v>
      </c>
    </row>
    <row r="20" spans="1:10" x14ac:dyDescent="0.3">
      <c r="A20" t="s">
        <v>27</v>
      </c>
      <c r="B20">
        <f t="shared" si="0"/>
        <v>19</v>
      </c>
      <c r="C20">
        <v>170</v>
      </c>
      <c r="D20">
        <v>30</v>
      </c>
      <c r="E20">
        <v>437</v>
      </c>
      <c r="F20">
        <v>664.3</v>
      </c>
      <c r="G20">
        <v>7.51</v>
      </c>
      <c r="H20">
        <v>432</v>
      </c>
      <c r="I20">
        <v>5</v>
      </c>
      <c r="J20">
        <v>3.04</v>
      </c>
    </row>
    <row r="21" spans="1:10" x14ac:dyDescent="0.3">
      <c r="A21" t="s">
        <v>28</v>
      </c>
      <c r="B21">
        <f t="shared" si="0"/>
        <v>20</v>
      </c>
      <c r="C21">
        <v>249</v>
      </c>
      <c r="D21">
        <v>45</v>
      </c>
      <c r="E21">
        <v>612</v>
      </c>
      <c r="F21">
        <v>678.66</v>
      </c>
      <c r="G21">
        <v>24.02</v>
      </c>
      <c r="H21">
        <v>600</v>
      </c>
      <c r="I21">
        <v>12</v>
      </c>
      <c r="J21">
        <v>2.2599999999999998</v>
      </c>
    </row>
    <row r="22" spans="1:10" x14ac:dyDescent="0.3">
      <c r="A22" t="s">
        <v>29</v>
      </c>
      <c r="B22">
        <f t="shared" si="0"/>
        <v>21</v>
      </c>
      <c r="C22">
        <v>129</v>
      </c>
      <c r="D22">
        <v>32</v>
      </c>
      <c r="E22">
        <v>624</v>
      </c>
      <c r="F22">
        <v>683.34</v>
      </c>
      <c r="G22">
        <v>7.69</v>
      </c>
      <c r="H22">
        <v>617</v>
      </c>
      <c r="I22">
        <v>7</v>
      </c>
      <c r="J22">
        <v>1.91</v>
      </c>
    </row>
    <row r="23" spans="1:10" x14ac:dyDescent="0.3">
      <c r="A23" t="s">
        <v>30</v>
      </c>
      <c r="B23">
        <f t="shared" si="0"/>
        <v>22</v>
      </c>
      <c r="C23">
        <v>238</v>
      </c>
      <c r="D23">
        <v>27</v>
      </c>
      <c r="E23">
        <v>600</v>
      </c>
      <c r="F23">
        <v>694.66</v>
      </c>
      <c r="G23">
        <v>19.309999999999999</v>
      </c>
      <c r="H23">
        <v>570</v>
      </c>
      <c r="I23">
        <v>30</v>
      </c>
      <c r="J23">
        <v>2.73</v>
      </c>
    </row>
    <row r="24" spans="1:10" x14ac:dyDescent="0.3">
      <c r="A24" t="s">
        <v>31</v>
      </c>
      <c r="B24">
        <f t="shared" si="0"/>
        <v>23</v>
      </c>
      <c r="C24">
        <v>290</v>
      </c>
      <c r="D24">
        <v>45</v>
      </c>
      <c r="E24">
        <v>373</v>
      </c>
      <c r="F24">
        <v>700.64</v>
      </c>
      <c r="G24">
        <v>16.420000000000002</v>
      </c>
      <c r="H24">
        <v>362</v>
      </c>
      <c r="I24">
        <v>11</v>
      </c>
      <c r="J24">
        <v>3.71</v>
      </c>
    </row>
    <row r="25" spans="1:10" x14ac:dyDescent="0.3">
      <c r="A25" t="s">
        <v>32</v>
      </c>
      <c r="B25">
        <f t="shared" si="0"/>
        <v>24</v>
      </c>
      <c r="C25">
        <v>248</v>
      </c>
      <c r="D25">
        <v>25</v>
      </c>
      <c r="E25">
        <v>476</v>
      </c>
      <c r="F25">
        <v>710.63</v>
      </c>
      <c r="G25">
        <v>21.5</v>
      </c>
      <c r="H25">
        <v>452</v>
      </c>
      <c r="I25">
        <v>24</v>
      </c>
      <c r="J25">
        <v>2.39</v>
      </c>
    </row>
    <row r="26" spans="1:10" x14ac:dyDescent="0.3">
      <c r="A26" t="s">
        <v>33</v>
      </c>
      <c r="B26">
        <f t="shared" si="0"/>
        <v>25</v>
      </c>
      <c r="C26">
        <v>297</v>
      </c>
      <c r="D26">
        <v>42</v>
      </c>
      <c r="E26">
        <v>394</v>
      </c>
      <c r="F26">
        <v>717.64</v>
      </c>
      <c r="G26">
        <v>18.22</v>
      </c>
      <c r="H26">
        <v>377</v>
      </c>
      <c r="I26">
        <v>17</v>
      </c>
      <c r="J26">
        <v>3.14</v>
      </c>
    </row>
    <row r="27" spans="1:10" x14ac:dyDescent="0.3">
      <c r="A27" t="s">
        <v>34</v>
      </c>
      <c r="B27">
        <f t="shared" si="0"/>
        <v>26</v>
      </c>
      <c r="C27">
        <v>207</v>
      </c>
      <c r="D27">
        <v>15</v>
      </c>
      <c r="E27">
        <v>707</v>
      </c>
      <c r="F27">
        <v>725.31</v>
      </c>
      <c r="G27">
        <v>11.11</v>
      </c>
      <c r="H27">
        <v>685</v>
      </c>
      <c r="I27">
        <v>22</v>
      </c>
      <c r="J27">
        <v>3.04</v>
      </c>
    </row>
    <row r="28" spans="1:10" x14ac:dyDescent="0.3">
      <c r="A28" t="s">
        <v>35</v>
      </c>
      <c r="B28">
        <f t="shared" si="0"/>
        <v>27</v>
      </c>
      <c r="C28">
        <v>307</v>
      </c>
      <c r="D28">
        <v>21</v>
      </c>
      <c r="E28">
        <v>687</v>
      </c>
      <c r="F28">
        <v>741.94</v>
      </c>
      <c r="G28">
        <v>24.79</v>
      </c>
      <c r="H28">
        <v>654</v>
      </c>
      <c r="I28">
        <v>33</v>
      </c>
      <c r="J28">
        <v>3.31</v>
      </c>
    </row>
    <row r="29" spans="1:10" x14ac:dyDescent="0.3">
      <c r="A29" t="s">
        <v>36</v>
      </c>
      <c r="B29">
        <f t="shared" si="0"/>
        <v>28</v>
      </c>
      <c r="C29">
        <v>271</v>
      </c>
      <c r="D29">
        <v>15</v>
      </c>
      <c r="E29">
        <v>248</v>
      </c>
      <c r="F29">
        <v>747.98</v>
      </c>
      <c r="G29">
        <v>24.92</v>
      </c>
      <c r="H29">
        <v>237</v>
      </c>
      <c r="I29">
        <v>11</v>
      </c>
      <c r="J29">
        <v>4</v>
      </c>
    </row>
    <row r="30" spans="1:10" x14ac:dyDescent="0.3">
      <c r="A30" t="s">
        <v>37</v>
      </c>
      <c r="B30">
        <f t="shared" si="0"/>
        <v>29</v>
      </c>
      <c r="C30">
        <v>136</v>
      </c>
      <c r="D30">
        <v>27</v>
      </c>
      <c r="E30">
        <v>634</v>
      </c>
      <c r="F30">
        <v>752.26</v>
      </c>
      <c r="G30">
        <v>6.91</v>
      </c>
      <c r="H30">
        <v>625</v>
      </c>
      <c r="I30">
        <v>9</v>
      </c>
      <c r="J30">
        <v>2.06</v>
      </c>
    </row>
    <row r="31" spans="1:10" x14ac:dyDescent="0.3">
      <c r="A31" t="s">
        <v>38</v>
      </c>
      <c r="B31">
        <f t="shared" si="0"/>
        <v>30</v>
      </c>
      <c r="C31">
        <v>146</v>
      </c>
      <c r="D31">
        <v>21</v>
      </c>
      <c r="E31">
        <v>417</v>
      </c>
      <c r="F31">
        <v>756.35</v>
      </c>
      <c r="G31">
        <v>10.039999999999999</v>
      </c>
      <c r="H31">
        <v>406</v>
      </c>
      <c r="I31">
        <v>11</v>
      </c>
      <c r="J31">
        <v>3.24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1249-D6D2-484D-9FDC-911EA47760F9}">
  <dimension ref="A1:BH34"/>
  <sheetViews>
    <sheetView tabSelected="1" workbookViewId="0">
      <selection activeCell="F25" sqref="F25"/>
    </sheetView>
  </sheetViews>
  <sheetFormatPr defaultRowHeight="14.4" x14ac:dyDescent="0.3"/>
  <cols>
    <col min="1" max="1" width="12.5546875" bestFit="1" customWidth="1"/>
    <col min="2" max="2" width="24.109375" bestFit="1" customWidth="1"/>
    <col min="8" max="8" width="12.5546875" bestFit="1" customWidth="1"/>
    <col min="9" max="9" width="18" bestFit="1" customWidth="1"/>
    <col min="10" max="10" width="10.6640625" bestFit="1" customWidth="1"/>
    <col min="16" max="16" width="12.5546875" bestFit="1" customWidth="1"/>
    <col min="17" max="17" width="27.6640625" bestFit="1" customWidth="1"/>
    <col min="27" max="27" width="12.5546875" bestFit="1" customWidth="1"/>
    <col min="28" max="28" width="19.88671875" bestFit="1" customWidth="1"/>
    <col min="29" max="29" width="10.6640625" bestFit="1" customWidth="1"/>
    <col min="38" max="38" width="12.5546875" bestFit="1" customWidth="1"/>
    <col min="39" max="39" width="23.77734375" bestFit="1" customWidth="1"/>
    <col min="40" max="40" width="19.88671875" bestFit="1" customWidth="1"/>
    <col min="50" max="50" width="12.5546875" bestFit="1" customWidth="1"/>
    <col min="51" max="51" width="33.6640625" bestFit="1" customWidth="1"/>
    <col min="52" max="52" width="19.88671875" bestFit="1" customWidth="1"/>
    <col min="59" max="59" width="12.5546875" bestFit="1" customWidth="1"/>
    <col min="60" max="60" width="26.33203125" bestFit="1" customWidth="1"/>
  </cols>
  <sheetData>
    <row r="1" spans="1:60" x14ac:dyDescent="0.3">
      <c r="A1" t="s">
        <v>39</v>
      </c>
      <c r="H1" t="s">
        <v>43</v>
      </c>
      <c r="P1" t="s">
        <v>45</v>
      </c>
      <c r="AA1" t="s">
        <v>47</v>
      </c>
      <c r="AL1" t="s">
        <v>49</v>
      </c>
      <c r="AX1" t="s">
        <v>52</v>
      </c>
      <c r="BG1" t="s">
        <v>52</v>
      </c>
    </row>
    <row r="3" spans="1:60" x14ac:dyDescent="0.3">
      <c r="A3" s="1" t="s">
        <v>40</v>
      </c>
      <c r="B3" t="s">
        <v>42</v>
      </c>
      <c r="H3" s="1" t="s">
        <v>40</v>
      </c>
      <c r="I3" t="s">
        <v>44</v>
      </c>
      <c r="P3" s="1" t="s">
        <v>40</v>
      </c>
      <c r="Q3" t="s">
        <v>46</v>
      </c>
      <c r="AA3" s="1" t="s">
        <v>40</v>
      </c>
      <c r="AB3" t="s">
        <v>48</v>
      </c>
      <c r="AL3" s="1" t="s">
        <v>40</v>
      </c>
      <c r="AM3" t="s">
        <v>50</v>
      </c>
      <c r="AN3" t="s">
        <v>51</v>
      </c>
      <c r="AX3" s="1" t="s">
        <v>40</v>
      </c>
      <c r="AY3" t="s">
        <v>53</v>
      </c>
      <c r="BG3" s="1" t="s">
        <v>40</v>
      </c>
      <c r="BH3" t="s">
        <v>55</v>
      </c>
    </row>
    <row r="4" spans="1:60" x14ac:dyDescent="0.3">
      <c r="A4" s="2">
        <v>1</v>
      </c>
      <c r="B4" s="3">
        <v>142</v>
      </c>
      <c r="H4" s="2">
        <v>1</v>
      </c>
      <c r="I4" s="3">
        <v>42</v>
      </c>
      <c r="P4" s="2">
        <v>1</v>
      </c>
      <c r="Q4" s="3">
        <v>503.15</v>
      </c>
      <c r="AA4" s="2">
        <v>1</v>
      </c>
      <c r="AB4" s="3">
        <v>282</v>
      </c>
      <c r="AL4" s="2">
        <v>1</v>
      </c>
      <c r="AM4" s="3">
        <v>273</v>
      </c>
      <c r="AN4" s="3">
        <v>9</v>
      </c>
      <c r="AX4" s="2">
        <v>1</v>
      </c>
      <c r="AY4" s="3">
        <v>4.12</v>
      </c>
      <c r="BG4" s="2">
        <v>1</v>
      </c>
      <c r="BH4" s="3">
        <v>11.45</v>
      </c>
    </row>
    <row r="5" spans="1:60" x14ac:dyDescent="0.3">
      <c r="A5" s="2">
        <v>2</v>
      </c>
      <c r="B5" s="3">
        <v>244</v>
      </c>
      <c r="H5" s="2">
        <v>2</v>
      </c>
      <c r="I5" s="3">
        <v>23</v>
      </c>
      <c r="P5" s="2">
        <v>2</v>
      </c>
      <c r="Q5" s="3">
        <v>508.37</v>
      </c>
      <c r="AA5" s="2">
        <v>2</v>
      </c>
      <c r="AB5" s="3">
        <v>237</v>
      </c>
      <c r="AL5" s="2">
        <v>2</v>
      </c>
      <c r="AM5" s="3">
        <v>232</v>
      </c>
      <c r="AN5" s="3">
        <v>5</v>
      </c>
      <c r="AX5" s="2">
        <v>2</v>
      </c>
      <c r="AY5" s="3">
        <v>2.4</v>
      </c>
      <c r="BG5" s="2">
        <v>2</v>
      </c>
      <c r="BH5" s="3">
        <v>22.56</v>
      </c>
    </row>
    <row r="6" spans="1:60" x14ac:dyDescent="0.3">
      <c r="A6" s="2">
        <v>3</v>
      </c>
      <c r="B6" s="3">
        <v>120</v>
      </c>
      <c r="H6" s="2">
        <v>3</v>
      </c>
      <c r="I6" s="3">
        <v>26</v>
      </c>
      <c r="P6" s="2">
        <v>3</v>
      </c>
      <c r="Q6" s="3">
        <v>519.9</v>
      </c>
      <c r="AA6" s="2">
        <v>3</v>
      </c>
      <c r="AB6" s="3">
        <v>542</v>
      </c>
      <c r="AL6" s="2">
        <v>3</v>
      </c>
      <c r="AM6" s="3">
        <v>531</v>
      </c>
      <c r="AN6" s="3">
        <v>11</v>
      </c>
      <c r="AX6" s="2">
        <v>3</v>
      </c>
      <c r="AY6" s="3">
        <v>3.38</v>
      </c>
      <c r="BG6" s="2">
        <v>3</v>
      </c>
      <c r="BH6" s="3">
        <v>21.78</v>
      </c>
    </row>
    <row r="7" spans="1:60" x14ac:dyDescent="0.3">
      <c r="A7" s="2">
        <v>4</v>
      </c>
      <c r="B7" s="3">
        <v>276</v>
      </c>
      <c r="H7" s="2">
        <v>4</v>
      </c>
      <c r="I7" s="3">
        <v>22</v>
      </c>
      <c r="P7" s="2">
        <v>4</v>
      </c>
      <c r="Q7" s="3">
        <v>532.66</v>
      </c>
      <c r="AA7" s="2">
        <v>4</v>
      </c>
      <c r="AB7" s="3">
        <v>696</v>
      </c>
      <c r="AL7" s="2">
        <v>4</v>
      </c>
      <c r="AM7" s="3">
        <v>674</v>
      </c>
      <c r="AN7" s="3">
        <v>22</v>
      </c>
      <c r="AX7" s="2">
        <v>4</v>
      </c>
      <c r="AY7" s="3">
        <v>2.36</v>
      </c>
      <c r="BG7" s="2">
        <v>4</v>
      </c>
      <c r="BH7" s="3">
        <v>18.77</v>
      </c>
    </row>
    <row r="8" spans="1:60" x14ac:dyDescent="0.3">
      <c r="A8" s="2">
        <v>5</v>
      </c>
      <c r="B8" s="3">
        <v>259</v>
      </c>
      <c r="H8" s="2">
        <v>5</v>
      </c>
      <c r="I8" s="3">
        <v>41</v>
      </c>
      <c r="P8" s="2">
        <v>5</v>
      </c>
      <c r="Q8" s="3">
        <v>544.09</v>
      </c>
      <c r="AA8" s="2">
        <v>5</v>
      </c>
      <c r="AB8" s="3">
        <v>462</v>
      </c>
      <c r="AL8" s="2">
        <v>5</v>
      </c>
      <c r="AM8" s="3">
        <v>453</v>
      </c>
      <c r="AN8" s="3">
        <v>9</v>
      </c>
      <c r="AX8" s="2">
        <v>5</v>
      </c>
      <c r="AY8" s="3">
        <v>3.76</v>
      </c>
      <c r="BG8" s="2">
        <v>5</v>
      </c>
      <c r="BH8" s="3">
        <v>25.34</v>
      </c>
    </row>
    <row r="9" spans="1:60" x14ac:dyDescent="0.3">
      <c r="A9" s="2">
        <v>6</v>
      </c>
      <c r="B9" s="3">
        <v>299</v>
      </c>
      <c r="H9" s="2">
        <v>6</v>
      </c>
      <c r="I9" s="3">
        <v>18</v>
      </c>
      <c r="P9" s="2">
        <v>6</v>
      </c>
      <c r="Q9" s="3">
        <v>555.70000000000005</v>
      </c>
      <c r="AA9" s="2">
        <v>6</v>
      </c>
      <c r="AB9" s="3">
        <v>572</v>
      </c>
      <c r="AL9" s="2">
        <v>6</v>
      </c>
      <c r="AM9" s="3">
        <v>545</v>
      </c>
      <c r="AN9" s="3">
        <v>27</v>
      </c>
      <c r="AX9" s="2">
        <v>6</v>
      </c>
      <c r="AY9" s="3">
        <v>3.94</v>
      </c>
      <c r="BG9" s="2">
        <v>6</v>
      </c>
      <c r="BH9" s="3">
        <v>20.77</v>
      </c>
    </row>
    <row r="10" spans="1:60" x14ac:dyDescent="0.3">
      <c r="A10" s="2">
        <v>7</v>
      </c>
      <c r="B10" s="3">
        <v>171</v>
      </c>
      <c r="H10" s="2">
        <v>7</v>
      </c>
      <c r="I10" s="3">
        <v>19</v>
      </c>
      <c r="P10" s="2">
        <v>7</v>
      </c>
      <c r="Q10" s="3">
        <v>561.71</v>
      </c>
      <c r="AA10" s="2">
        <v>7</v>
      </c>
      <c r="AB10" s="3">
        <v>362</v>
      </c>
      <c r="AL10" s="2">
        <v>7</v>
      </c>
      <c r="AM10" s="3">
        <v>345</v>
      </c>
      <c r="AN10" s="3">
        <v>17</v>
      </c>
      <c r="AX10" s="2">
        <v>7</v>
      </c>
      <c r="AY10" s="3">
        <v>2.79</v>
      </c>
      <c r="BG10" s="2">
        <v>7</v>
      </c>
      <c r="BH10" s="3">
        <v>17.010000000000002</v>
      </c>
    </row>
    <row r="11" spans="1:60" x14ac:dyDescent="0.3">
      <c r="A11" s="2">
        <v>8</v>
      </c>
      <c r="B11" s="3">
        <v>230</v>
      </c>
      <c r="H11" s="2">
        <v>8</v>
      </c>
      <c r="I11" s="3">
        <v>41</v>
      </c>
      <c r="P11" s="2">
        <v>8</v>
      </c>
      <c r="Q11" s="3">
        <v>569.41999999999996</v>
      </c>
      <c r="AA11" s="2">
        <v>8</v>
      </c>
      <c r="AB11" s="3">
        <v>408</v>
      </c>
      <c r="AL11" s="2">
        <v>8</v>
      </c>
      <c r="AM11" s="3">
        <v>402</v>
      </c>
      <c r="AN11" s="3">
        <v>6</v>
      </c>
      <c r="AX11" s="2">
        <v>8</v>
      </c>
      <c r="AY11" s="3">
        <v>3.26</v>
      </c>
      <c r="BG11" s="2">
        <v>8</v>
      </c>
      <c r="BH11" s="3">
        <v>19.350000000000001</v>
      </c>
    </row>
    <row r="12" spans="1:60" x14ac:dyDescent="0.3">
      <c r="A12" s="2">
        <v>9</v>
      </c>
      <c r="B12" s="3">
        <v>306</v>
      </c>
      <c r="H12" s="2">
        <v>9</v>
      </c>
      <c r="I12" s="3">
        <v>26</v>
      </c>
      <c r="P12" s="2">
        <v>9</v>
      </c>
      <c r="Q12" s="3">
        <v>573.07000000000005</v>
      </c>
      <c r="AA12" s="2">
        <v>9</v>
      </c>
      <c r="AB12" s="3">
        <v>342</v>
      </c>
      <c r="AL12" s="2">
        <v>9</v>
      </c>
      <c r="AM12" s="3">
        <v>336</v>
      </c>
      <c r="AN12" s="3">
        <v>6</v>
      </c>
      <c r="AX12" s="2">
        <v>9</v>
      </c>
      <c r="AY12" s="3">
        <v>2.57</v>
      </c>
      <c r="BG12" s="2">
        <v>9</v>
      </c>
      <c r="BH12" s="3">
        <v>10.92</v>
      </c>
    </row>
    <row r="13" spans="1:60" x14ac:dyDescent="0.3">
      <c r="A13" s="2">
        <v>10</v>
      </c>
      <c r="B13" s="3">
        <v>203</v>
      </c>
      <c r="H13" s="2">
        <v>10</v>
      </c>
      <c r="I13" s="3">
        <v>41</v>
      </c>
      <c r="P13" s="2">
        <v>10</v>
      </c>
      <c r="Q13" s="3">
        <v>581.99</v>
      </c>
      <c r="AA13" s="2">
        <v>10</v>
      </c>
      <c r="AB13" s="3">
        <v>630</v>
      </c>
      <c r="AL13" s="2">
        <v>10</v>
      </c>
      <c r="AM13" s="3">
        <v>610</v>
      </c>
      <c r="AN13" s="3">
        <v>20</v>
      </c>
      <c r="AX13" s="2">
        <v>10</v>
      </c>
      <c r="AY13" s="3">
        <v>1.9</v>
      </c>
      <c r="BG13" s="2">
        <v>10</v>
      </c>
      <c r="BH13" s="3">
        <v>14.51</v>
      </c>
    </row>
    <row r="14" spans="1:60" x14ac:dyDescent="0.3">
      <c r="A14" s="2">
        <v>11</v>
      </c>
      <c r="B14" s="3">
        <v>230</v>
      </c>
      <c r="H14" s="2">
        <v>11</v>
      </c>
      <c r="I14" s="3">
        <v>20</v>
      </c>
      <c r="P14" s="2">
        <v>11</v>
      </c>
      <c r="Q14" s="3">
        <v>587.92999999999995</v>
      </c>
      <c r="AA14" s="2">
        <v>11</v>
      </c>
      <c r="AB14" s="3">
        <v>547</v>
      </c>
      <c r="AL14" s="2">
        <v>11</v>
      </c>
      <c r="AM14" s="3">
        <v>523</v>
      </c>
      <c r="AN14" s="3">
        <v>24</v>
      </c>
      <c r="AX14" s="2">
        <v>11</v>
      </c>
      <c r="AY14" s="3">
        <v>1.97</v>
      </c>
      <c r="BG14" s="2">
        <v>11</v>
      </c>
      <c r="BH14" s="3">
        <v>11.12</v>
      </c>
    </row>
    <row r="15" spans="1:60" x14ac:dyDescent="0.3">
      <c r="A15" s="2">
        <v>12</v>
      </c>
      <c r="B15" s="3">
        <v>186</v>
      </c>
      <c r="H15" s="2">
        <v>12</v>
      </c>
      <c r="I15" s="3">
        <v>35</v>
      </c>
      <c r="P15" s="2">
        <v>12</v>
      </c>
      <c r="Q15" s="3">
        <v>596.97</v>
      </c>
      <c r="AA15" s="2">
        <v>12</v>
      </c>
      <c r="AB15" s="3">
        <v>493</v>
      </c>
      <c r="AL15" s="2">
        <v>12</v>
      </c>
      <c r="AM15" s="3">
        <v>480</v>
      </c>
      <c r="AN15" s="3">
        <v>13</v>
      </c>
      <c r="AX15" s="2">
        <v>12</v>
      </c>
      <c r="AY15" s="3">
        <v>2.73</v>
      </c>
      <c r="BG15" s="2">
        <v>12</v>
      </c>
      <c r="BH15" s="3">
        <v>18.77</v>
      </c>
    </row>
    <row r="16" spans="1:60" x14ac:dyDescent="0.3">
      <c r="A16" s="2">
        <v>13</v>
      </c>
      <c r="B16" s="3">
        <v>299</v>
      </c>
      <c r="H16" s="2">
        <v>13</v>
      </c>
      <c r="I16" s="3">
        <v>30</v>
      </c>
      <c r="P16" s="2">
        <v>13</v>
      </c>
      <c r="Q16" s="3">
        <v>602.55999999999995</v>
      </c>
      <c r="AA16" s="2">
        <v>13</v>
      </c>
      <c r="AB16" s="3">
        <v>741</v>
      </c>
      <c r="AL16" s="2">
        <v>13</v>
      </c>
      <c r="AM16" s="3">
        <v>717</v>
      </c>
      <c r="AN16" s="3">
        <v>24</v>
      </c>
      <c r="AX16" s="2">
        <v>13</v>
      </c>
      <c r="AY16" s="3">
        <v>3.67</v>
      </c>
      <c r="BG16" s="2">
        <v>13</v>
      </c>
      <c r="BH16" s="3">
        <v>7.73</v>
      </c>
    </row>
    <row r="17" spans="1:60" x14ac:dyDescent="0.3">
      <c r="A17" s="2">
        <v>14</v>
      </c>
      <c r="B17" s="3">
        <v>127</v>
      </c>
      <c r="H17" s="2">
        <v>14</v>
      </c>
      <c r="I17" s="3">
        <v>37</v>
      </c>
      <c r="P17" s="2">
        <v>14</v>
      </c>
      <c r="Q17" s="3">
        <v>620.02</v>
      </c>
      <c r="AA17" s="2">
        <v>14</v>
      </c>
      <c r="AB17" s="3">
        <v>683</v>
      </c>
      <c r="AL17" s="2">
        <v>14</v>
      </c>
      <c r="AM17" s="3">
        <v>652</v>
      </c>
      <c r="AN17" s="3">
        <v>31</v>
      </c>
      <c r="AX17" s="2">
        <v>14</v>
      </c>
      <c r="AY17" s="3">
        <v>1.9</v>
      </c>
      <c r="BG17" s="2">
        <v>14</v>
      </c>
      <c r="BH17" s="3">
        <v>26.18</v>
      </c>
    </row>
    <row r="18" spans="1:60" x14ac:dyDescent="0.3">
      <c r="A18" s="2">
        <v>15</v>
      </c>
      <c r="B18" s="3">
        <v>124</v>
      </c>
      <c r="H18" s="2">
        <v>15</v>
      </c>
      <c r="I18" s="3">
        <v>37</v>
      </c>
      <c r="P18" s="2">
        <v>15</v>
      </c>
      <c r="Q18" s="3">
        <v>634.97</v>
      </c>
      <c r="AA18" s="2">
        <v>15</v>
      </c>
      <c r="AB18" s="3">
        <v>698</v>
      </c>
      <c r="AL18" s="2">
        <v>15</v>
      </c>
      <c r="AM18" s="3">
        <v>681</v>
      </c>
      <c r="AN18" s="3">
        <v>17</v>
      </c>
      <c r="AX18" s="2">
        <v>15</v>
      </c>
      <c r="AY18" s="3">
        <v>3.69</v>
      </c>
      <c r="BG18" s="2">
        <v>15</v>
      </c>
      <c r="BH18" s="3">
        <v>21.92</v>
      </c>
    </row>
    <row r="19" spans="1:60" x14ac:dyDescent="0.3">
      <c r="A19" s="2">
        <v>16</v>
      </c>
      <c r="B19" s="3">
        <v>149</v>
      </c>
      <c r="H19" s="2">
        <v>16</v>
      </c>
      <c r="I19" s="3">
        <v>45</v>
      </c>
      <c r="P19" s="2">
        <v>16</v>
      </c>
      <c r="Q19" s="3">
        <v>647.78</v>
      </c>
      <c r="AA19" s="2">
        <v>16</v>
      </c>
      <c r="AB19" s="3">
        <v>492</v>
      </c>
      <c r="AL19" s="2">
        <v>16</v>
      </c>
      <c r="AM19" s="3">
        <v>485</v>
      </c>
      <c r="AN19" s="3">
        <v>7</v>
      </c>
      <c r="AX19" s="2">
        <v>16</v>
      </c>
      <c r="AY19" s="3">
        <v>2.0699999999999998</v>
      </c>
      <c r="BG19" s="2">
        <v>16</v>
      </c>
      <c r="BH19" s="3">
        <v>26.67</v>
      </c>
    </row>
    <row r="20" spans="1:60" x14ac:dyDescent="0.3">
      <c r="A20" s="2">
        <v>17</v>
      </c>
      <c r="B20" s="3">
        <v>250</v>
      </c>
      <c r="H20" s="2">
        <v>17</v>
      </c>
      <c r="I20" s="3">
        <v>27</v>
      </c>
      <c r="P20" s="2">
        <v>17</v>
      </c>
      <c r="Q20" s="3">
        <v>652.51</v>
      </c>
      <c r="AA20" s="2">
        <v>17</v>
      </c>
      <c r="AB20" s="3">
        <v>473</v>
      </c>
      <c r="AL20" s="2">
        <v>17</v>
      </c>
      <c r="AM20" s="3">
        <v>467</v>
      </c>
      <c r="AN20" s="3">
        <v>6</v>
      </c>
      <c r="AX20" s="2">
        <v>17</v>
      </c>
      <c r="AY20" s="3">
        <v>2.25</v>
      </c>
      <c r="BG20" s="2">
        <v>17</v>
      </c>
      <c r="BH20" s="3">
        <v>10.24</v>
      </c>
    </row>
    <row r="21" spans="1:60" x14ac:dyDescent="0.3">
      <c r="A21" s="2">
        <v>18</v>
      </c>
      <c r="B21" s="3">
        <v>130</v>
      </c>
      <c r="H21" s="2">
        <v>18</v>
      </c>
      <c r="I21" s="3">
        <v>26</v>
      </c>
      <c r="P21" s="2">
        <v>18</v>
      </c>
      <c r="Q21" s="3">
        <v>661.1</v>
      </c>
      <c r="AA21" s="2">
        <v>18</v>
      </c>
      <c r="AB21" s="3">
        <v>658</v>
      </c>
      <c r="AL21" s="2">
        <v>18</v>
      </c>
      <c r="AM21" s="3">
        <v>649</v>
      </c>
      <c r="AN21" s="3">
        <v>9</v>
      </c>
      <c r="AX21" s="2">
        <v>18</v>
      </c>
      <c r="AY21" s="3">
        <v>2.27</v>
      </c>
      <c r="BG21" s="2">
        <v>18</v>
      </c>
      <c r="BH21" s="3">
        <v>13.36</v>
      </c>
    </row>
    <row r="22" spans="1:60" x14ac:dyDescent="0.3">
      <c r="A22" s="2">
        <v>19</v>
      </c>
      <c r="B22" s="3">
        <v>170</v>
      </c>
      <c r="H22" s="2">
        <v>19</v>
      </c>
      <c r="I22" s="3">
        <v>30</v>
      </c>
      <c r="P22" s="2">
        <v>19</v>
      </c>
      <c r="Q22" s="3">
        <v>664.3</v>
      </c>
      <c r="AA22" s="2">
        <v>19</v>
      </c>
      <c r="AB22" s="3">
        <v>437</v>
      </c>
      <c r="AL22" s="2">
        <v>19</v>
      </c>
      <c r="AM22" s="3">
        <v>432</v>
      </c>
      <c r="AN22" s="3">
        <v>5</v>
      </c>
      <c r="AX22" s="2">
        <v>19</v>
      </c>
      <c r="AY22" s="3">
        <v>3.04</v>
      </c>
      <c r="BG22" s="2">
        <v>19</v>
      </c>
      <c r="BH22" s="3">
        <v>7.51</v>
      </c>
    </row>
    <row r="23" spans="1:60" x14ac:dyDescent="0.3">
      <c r="A23" s="2">
        <v>20</v>
      </c>
      <c r="B23" s="3">
        <v>249</v>
      </c>
      <c r="H23" s="2">
        <v>20</v>
      </c>
      <c r="I23" s="3">
        <v>45</v>
      </c>
      <c r="P23" s="2">
        <v>20</v>
      </c>
      <c r="Q23" s="3">
        <v>678.66</v>
      </c>
      <c r="AA23" s="2">
        <v>20</v>
      </c>
      <c r="AB23" s="3">
        <v>612</v>
      </c>
      <c r="AL23" s="2">
        <v>20</v>
      </c>
      <c r="AM23" s="3">
        <v>600</v>
      </c>
      <c r="AN23" s="3">
        <v>12</v>
      </c>
      <c r="AX23" s="2">
        <v>20</v>
      </c>
      <c r="AY23" s="3">
        <v>2.2599999999999998</v>
      </c>
      <c r="BG23" s="2">
        <v>20</v>
      </c>
      <c r="BH23" s="3">
        <v>24.02</v>
      </c>
    </row>
    <row r="24" spans="1:60" x14ac:dyDescent="0.3">
      <c r="A24" s="2">
        <v>21</v>
      </c>
      <c r="B24" s="3">
        <v>129</v>
      </c>
      <c r="H24" s="2">
        <v>21</v>
      </c>
      <c r="I24" s="3">
        <v>32</v>
      </c>
      <c r="P24" s="2">
        <v>21</v>
      </c>
      <c r="Q24" s="3">
        <v>683.34</v>
      </c>
      <c r="AA24" s="2">
        <v>21</v>
      </c>
      <c r="AB24" s="3">
        <v>624</v>
      </c>
      <c r="AL24" s="2">
        <v>21</v>
      </c>
      <c r="AM24" s="3">
        <v>617</v>
      </c>
      <c r="AN24" s="3">
        <v>7</v>
      </c>
      <c r="AX24" s="2">
        <v>21</v>
      </c>
      <c r="AY24" s="3">
        <v>1.91</v>
      </c>
      <c r="BG24" s="2">
        <v>21</v>
      </c>
      <c r="BH24" s="3">
        <v>7.69</v>
      </c>
    </row>
    <row r="25" spans="1:60" x14ac:dyDescent="0.3">
      <c r="A25" s="2">
        <v>22</v>
      </c>
      <c r="B25" s="3">
        <v>238</v>
      </c>
      <c r="H25" s="2">
        <v>22</v>
      </c>
      <c r="I25" s="3">
        <v>27</v>
      </c>
      <c r="P25" s="2">
        <v>22</v>
      </c>
      <c r="Q25" s="3">
        <v>694.66</v>
      </c>
      <c r="AA25" s="2">
        <v>22</v>
      </c>
      <c r="AB25" s="3">
        <v>600</v>
      </c>
      <c r="AL25" s="2">
        <v>22</v>
      </c>
      <c r="AM25" s="3">
        <v>570</v>
      </c>
      <c r="AN25" s="3">
        <v>30</v>
      </c>
      <c r="AX25" s="2">
        <v>22</v>
      </c>
      <c r="AY25" s="3">
        <v>2.73</v>
      </c>
      <c r="BG25" s="2">
        <v>22</v>
      </c>
      <c r="BH25" s="3">
        <v>19.309999999999999</v>
      </c>
    </row>
    <row r="26" spans="1:60" x14ac:dyDescent="0.3">
      <c r="A26" s="2">
        <v>23</v>
      </c>
      <c r="B26" s="3">
        <v>290</v>
      </c>
      <c r="H26" s="2">
        <v>23</v>
      </c>
      <c r="I26" s="3">
        <v>45</v>
      </c>
      <c r="P26" s="2">
        <v>23</v>
      </c>
      <c r="Q26" s="3">
        <v>700.64</v>
      </c>
      <c r="AA26" s="2">
        <v>23</v>
      </c>
      <c r="AB26" s="3">
        <v>373</v>
      </c>
      <c r="AL26" s="2">
        <v>23</v>
      </c>
      <c r="AM26" s="3">
        <v>362</v>
      </c>
      <c r="AN26" s="3">
        <v>11</v>
      </c>
      <c r="AX26" s="2">
        <v>23</v>
      </c>
      <c r="AY26" s="3">
        <v>3.71</v>
      </c>
      <c r="BG26" s="2">
        <v>23</v>
      </c>
      <c r="BH26" s="3">
        <v>16.420000000000002</v>
      </c>
    </row>
    <row r="27" spans="1:60" x14ac:dyDescent="0.3">
      <c r="A27" s="2">
        <v>24</v>
      </c>
      <c r="B27" s="3">
        <v>248</v>
      </c>
      <c r="H27" s="2">
        <v>24</v>
      </c>
      <c r="I27" s="3">
        <v>25</v>
      </c>
      <c r="P27" s="2">
        <v>24</v>
      </c>
      <c r="Q27" s="3">
        <v>710.63</v>
      </c>
      <c r="AA27" s="2">
        <v>24</v>
      </c>
      <c r="AB27" s="3">
        <v>476</v>
      </c>
      <c r="AL27" s="2">
        <v>24</v>
      </c>
      <c r="AM27" s="3">
        <v>452</v>
      </c>
      <c r="AN27" s="3">
        <v>24</v>
      </c>
      <c r="AX27" s="2">
        <v>24</v>
      </c>
      <c r="AY27" s="3">
        <v>2.39</v>
      </c>
      <c r="BG27" s="2">
        <v>24</v>
      </c>
      <c r="BH27" s="3">
        <v>21.5</v>
      </c>
    </row>
    <row r="28" spans="1:60" x14ac:dyDescent="0.3">
      <c r="A28" s="2">
        <v>25</v>
      </c>
      <c r="B28" s="3">
        <v>297</v>
      </c>
      <c r="H28" s="2">
        <v>25</v>
      </c>
      <c r="I28" s="3">
        <v>42</v>
      </c>
      <c r="P28" s="2">
        <v>25</v>
      </c>
      <c r="Q28" s="3">
        <v>717.64</v>
      </c>
      <c r="AA28" s="2">
        <v>25</v>
      </c>
      <c r="AB28" s="3">
        <v>394</v>
      </c>
      <c r="AL28" s="2">
        <v>25</v>
      </c>
      <c r="AM28" s="3">
        <v>377</v>
      </c>
      <c r="AN28" s="3">
        <v>17</v>
      </c>
      <c r="AX28" s="2">
        <v>25</v>
      </c>
      <c r="AY28" s="3">
        <v>3.14</v>
      </c>
      <c r="BG28" s="2">
        <v>25</v>
      </c>
      <c r="BH28" s="3">
        <v>18.22</v>
      </c>
    </row>
    <row r="29" spans="1:60" x14ac:dyDescent="0.3">
      <c r="A29" s="2">
        <v>26</v>
      </c>
      <c r="B29" s="3">
        <v>207</v>
      </c>
      <c r="H29" s="2">
        <v>26</v>
      </c>
      <c r="I29" s="3">
        <v>15</v>
      </c>
      <c r="P29" s="2">
        <v>26</v>
      </c>
      <c r="Q29" s="3">
        <v>725.31</v>
      </c>
      <c r="AA29" s="2">
        <v>26</v>
      </c>
      <c r="AB29" s="3">
        <v>707</v>
      </c>
      <c r="AL29" s="2">
        <v>26</v>
      </c>
      <c r="AM29" s="3">
        <v>685</v>
      </c>
      <c r="AN29" s="3">
        <v>22</v>
      </c>
      <c r="AX29" s="2">
        <v>26</v>
      </c>
      <c r="AY29" s="3">
        <v>3.04</v>
      </c>
      <c r="BG29" s="2">
        <v>26</v>
      </c>
      <c r="BH29" s="3">
        <v>11.11</v>
      </c>
    </row>
    <row r="30" spans="1:60" x14ac:dyDescent="0.3">
      <c r="A30" s="2">
        <v>27</v>
      </c>
      <c r="B30" s="3">
        <v>307</v>
      </c>
      <c r="H30" s="2">
        <v>27</v>
      </c>
      <c r="I30" s="3">
        <v>21</v>
      </c>
      <c r="P30" s="2">
        <v>27</v>
      </c>
      <c r="Q30" s="3">
        <v>741.94</v>
      </c>
      <c r="AA30" s="2">
        <v>27</v>
      </c>
      <c r="AB30" s="3">
        <v>687</v>
      </c>
      <c r="AL30" s="2">
        <v>27</v>
      </c>
      <c r="AM30" s="3">
        <v>654</v>
      </c>
      <c r="AN30" s="3">
        <v>33</v>
      </c>
      <c r="AX30" s="2">
        <v>27</v>
      </c>
      <c r="AY30" s="3">
        <v>3.31</v>
      </c>
      <c r="BG30" s="2">
        <v>27</v>
      </c>
      <c r="BH30" s="3">
        <v>24.79</v>
      </c>
    </row>
    <row r="31" spans="1:60" x14ac:dyDescent="0.3">
      <c r="A31" s="2">
        <v>28</v>
      </c>
      <c r="B31" s="3">
        <v>271</v>
      </c>
      <c r="H31" s="2">
        <v>28</v>
      </c>
      <c r="I31" s="3">
        <v>15</v>
      </c>
      <c r="P31" s="2">
        <v>28</v>
      </c>
      <c r="Q31" s="3">
        <v>747.98</v>
      </c>
      <c r="AA31" s="2">
        <v>28</v>
      </c>
      <c r="AB31" s="3">
        <v>248</v>
      </c>
      <c r="AL31" s="2">
        <v>28</v>
      </c>
      <c r="AM31" s="3">
        <v>237</v>
      </c>
      <c r="AN31" s="3">
        <v>11</v>
      </c>
      <c r="AX31" s="2">
        <v>28</v>
      </c>
      <c r="AY31" s="3">
        <v>4</v>
      </c>
      <c r="BG31" s="2">
        <v>28</v>
      </c>
      <c r="BH31" s="3">
        <v>24.92</v>
      </c>
    </row>
    <row r="32" spans="1:60" x14ac:dyDescent="0.3">
      <c r="A32" s="2">
        <v>29</v>
      </c>
      <c r="B32" s="3">
        <v>136</v>
      </c>
      <c r="H32" s="2">
        <v>29</v>
      </c>
      <c r="I32" s="3">
        <v>27</v>
      </c>
      <c r="P32" s="2">
        <v>29</v>
      </c>
      <c r="Q32" s="3">
        <v>752.26</v>
      </c>
      <c r="AA32" s="2">
        <v>29</v>
      </c>
      <c r="AB32" s="3">
        <v>634</v>
      </c>
      <c r="AL32" s="2">
        <v>29</v>
      </c>
      <c r="AM32" s="3">
        <v>625</v>
      </c>
      <c r="AN32" s="3">
        <v>9</v>
      </c>
      <c r="AX32" s="2">
        <v>29</v>
      </c>
      <c r="AY32" s="3">
        <v>2.06</v>
      </c>
      <c r="BG32" s="2">
        <v>29</v>
      </c>
      <c r="BH32" s="3">
        <v>6.91</v>
      </c>
    </row>
    <row r="33" spans="1:60" x14ac:dyDescent="0.3">
      <c r="A33" s="2">
        <v>30</v>
      </c>
      <c r="B33" s="3">
        <v>146</v>
      </c>
      <c r="H33" s="2">
        <v>30</v>
      </c>
      <c r="I33" s="3">
        <v>21</v>
      </c>
      <c r="P33" s="2">
        <v>30</v>
      </c>
      <c r="Q33" s="3">
        <v>756.35</v>
      </c>
      <c r="AA33" s="2">
        <v>30</v>
      </c>
      <c r="AB33" s="3">
        <v>417</v>
      </c>
      <c r="AL33" s="2">
        <v>30</v>
      </c>
      <c r="AM33" s="3">
        <v>406</v>
      </c>
      <c r="AN33" s="3">
        <v>11</v>
      </c>
      <c r="AX33" s="2">
        <v>30</v>
      </c>
      <c r="AY33" s="3">
        <v>3.24</v>
      </c>
      <c r="BG33" s="2">
        <v>30</v>
      </c>
      <c r="BH33" s="3">
        <v>10.039999999999999</v>
      </c>
    </row>
    <row r="34" spans="1:60" x14ac:dyDescent="0.3">
      <c r="A34" s="2" t="s">
        <v>41</v>
      </c>
      <c r="B34" s="3">
        <v>6433</v>
      </c>
      <c r="H34" s="2" t="s">
        <v>41</v>
      </c>
      <c r="I34" s="3">
        <v>901</v>
      </c>
      <c r="P34" s="2" t="s">
        <v>41</v>
      </c>
      <c r="Q34" s="3">
        <v>756.35</v>
      </c>
      <c r="AA34" s="2" t="s">
        <v>41</v>
      </c>
      <c r="AB34" s="3">
        <v>15527</v>
      </c>
      <c r="AL34" s="2" t="s">
        <v>41</v>
      </c>
      <c r="AM34" s="3">
        <v>15072</v>
      </c>
      <c r="AN34" s="3">
        <v>455</v>
      </c>
      <c r="AX34" s="2" t="s">
        <v>41</v>
      </c>
      <c r="AY34" s="3">
        <v>2.8620000000000001</v>
      </c>
      <c r="BG34" s="2" t="s">
        <v>41</v>
      </c>
      <c r="BH34" s="3">
        <v>510.89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Luffa_V2_Mock_Data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Ogechukwu Ozoemena</cp:lastModifiedBy>
  <dcterms:created xsi:type="dcterms:W3CDTF">2026-01-23T16:26:05Z</dcterms:created>
  <dcterms:modified xsi:type="dcterms:W3CDTF">2026-01-24T14:07:54Z</dcterms:modified>
</cp:coreProperties>
</file>